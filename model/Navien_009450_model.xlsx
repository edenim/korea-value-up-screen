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;(#,##0.0);&quot;-&quot;"/>
    <numFmt numFmtId="165" formatCode="0.0%;(0.0%);&quot;-&quot;"/>
    <numFmt numFmtId="166" formatCode="#,##0;(#,##0);&quot;-&quot;"/>
    <numFmt numFmtId="167" formatCode="0.00%;(0.00%);&quot;-&quot;"/>
    <numFmt numFmtId="168" formatCode="0.00;(0.00);&quot;-&quot;"/>
    <numFmt numFmtId="169" formatCode="0.0&quot;x&quot;;(0.0&quot;x&quot;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595959"/>
      <sz val="8"/>
    </font>
    <font>
      <name val="Arial"/>
      <color rgb="00000000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0" applyAlignment="1" pivotButton="0" quotePrefix="0" xfId="0">
      <alignment indent="1"/>
    </xf>
    <xf numFmtId="166" fontId="9" fillId="0" borderId="0" pivotButton="0" quotePrefix="0" xfId="0"/>
    <xf numFmtId="165" fontId="9" fillId="0" borderId="0" pivotButton="0" quotePrefix="0" xfId="0"/>
    <xf numFmtId="49" fontId="9" fillId="0" borderId="0" pivotButton="0" quotePrefix="0" xfId="0"/>
    <xf numFmtId="167" fontId="9" fillId="0" borderId="0" pivotButton="0" quotePrefix="0" xfId="0"/>
    <xf numFmtId="164" fontId="8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4" borderId="0" pivotButton="0" quotePrefix="0" xfId="0"/>
    <xf numFmtId="0" fontId="4" fillId="3" borderId="0" pivotButton="0" quotePrefix="0" xfId="0"/>
    <xf numFmtId="0" fontId="0" fillId="3" borderId="0" pivotButton="0" quotePrefix="0" xfId="0"/>
    <xf numFmtId="166" fontId="6" fillId="0" borderId="0" pivotButton="0" quotePrefix="0" xfId="0"/>
    <xf numFmtId="0" fontId="7" fillId="0" borderId="0" pivotButton="0" quotePrefix="0" xfId="0"/>
    <xf numFmtId="166" fontId="8" fillId="0" borderId="0" pivotButton="0" quotePrefix="0" xfId="0"/>
    <xf numFmtId="167" fontId="6" fillId="4" borderId="0" pivotButton="0" quotePrefix="0" xfId="0"/>
    <xf numFmtId="168" fontId="6" fillId="4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7" fontId="8" fillId="0" borderId="0" pivotButton="0" quotePrefix="0" xfId="0"/>
    <xf numFmtId="165" fontId="6" fillId="4" borderId="0" pivotButton="0" quotePrefix="0" xfId="0"/>
    <xf numFmtId="165" fontId="8" fillId="0" borderId="0" pivotButton="0" quotePrefix="0" xfId="0"/>
    <xf numFmtId="164" fontId="6" fillId="0" borderId="0" pivotButton="0" quotePrefix="0" xfId="0"/>
    <xf numFmtId="0" fontId="4" fillId="0" borderId="0" pivotButton="0" quotePrefix="0" xfId="0"/>
    <xf numFmtId="164" fontId="9" fillId="0" borderId="0" pivotButton="0" quotePrefix="0" xfId="0"/>
    <xf numFmtId="168" fontId="8" fillId="0" borderId="0" pivotButton="0" quotePrefix="0" xfId="0"/>
    <xf numFmtId="167" fontId="8" fillId="4" borderId="0" pivotButton="0" quotePrefix="0" xfId="0"/>
    <xf numFmtId="2" fontId="6" fillId="0" borderId="0" pivotButton="0" quotePrefix="0" xfId="0"/>
    <xf numFmtId="166" fontId="8" fillId="4" borderId="0" pivotButton="0" quotePrefix="0" xfId="0"/>
    <xf numFmtId="49" fontId="8" fillId="0" borderId="0" pivotButton="0" quotePrefix="0" xfId="0"/>
    <xf numFmtId="169" fontId="8" fillId="0" borderId="0" pivotButton="0" quotePrefix="0" xfId="0"/>
    <xf numFmtId="0" fontId="5" fillId="0" borderId="0" pivotButton="0" quotePrefix="0" xfId="0"/>
    <xf numFmtId="169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Analyst</author>
  </authors>
  <commentList>
    <comment ref="B20" authorId="0" shapeId="0">
      <text>
        <t>1H2026 cost of sales includes US tariff refunds (DART 1H2026 notes, expenses by nature). The amount is not disclosed, so 2H2026 uses the 2H2025 margin instead of the 1H2026 margin.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</cols>
  <sheetData>
    <row r="1">
      <c r="A1" s="1" t="inlineStr">
        <is>
          <t>Kyung Dong Navien (009450 KS): valuation model</t>
        </is>
      </c>
    </row>
    <row r="2">
      <c r="A2" s="2" t="inlineStr">
        <is>
          <t>Built with src/build_model.py from DART filings. All outputs are live formulas.</t>
        </is>
      </c>
    </row>
    <row r="4">
      <c r="A4" s="3" t="inlineStr">
        <is>
          <t>Summary</t>
        </is>
      </c>
      <c r="B4" s="4" t="inlineStr">
        <is>
          <t>Value</t>
        </is>
      </c>
    </row>
    <row r="5">
      <c r="A5" s="5" t="inlineStr">
        <is>
          <t>Share price, 25 Sep 2026 (KRW)</t>
        </is>
      </c>
      <c r="B5" s="6">
        <f>Inputs!$B$6</f>
        <v/>
      </c>
    </row>
    <row r="6">
      <c r="A6" s="5" t="inlineStr">
        <is>
          <t>DCF value per share (KRW)</t>
        </is>
      </c>
      <c r="B6" s="6">
        <f>DCF!B38</f>
        <v/>
      </c>
    </row>
    <row r="7">
      <c r="A7" s="5" t="inlineStr">
        <is>
          <t>Upside / (downside)</t>
        </is>
      </c>
      <c r="B7" s="7">
        <f>DCF!B40</f>
        <v/>
      </c>
    </row>
    <row r="8">
      <c r="A8" s="5" t="inlineStr">
        <is>
          <t>Rating</t>
        </is>
      </c>
      <c r="B8" s="8">
        <f>DCF!B41</f>
        <v/>
      </c>
    </row>
    <row r="9">
      <c r="A9" s="5" t="inlineStr">
        <is>
          <t>WACC</t>
        </is>
      </c>
      <c r="B9" s="9">
        <f>DCF!B12</f>
        <v/>
      </c>
    </row>
    <row r="10">
      <c r="A10" s="5" t="inlineStr">
        <is>
          <t>Terminal growth</t>
        </is>
      </c>
      <c r="B10" s="7">
        <f>Inputs!$B$17</f>
        <v/>
      </c>
    </row>
    <row r="11">
      <c r="A11" s="5" t="inlineStr">
        <is>
          <t>Terminal value as % of EV</t>
        </is>
      </c>
      <c r="B11" s="7">
        <f>DCF!B34</f>
        <v/>
      </c>
    </row>
    <row r="12">
      <c r="A12" s="5" t="inlineStr">
        <is>
          <t>Check: balance sheet balances (sum of abs. differences)</t>
        </is>
      </c>
      <c r="B12" s="10">
        <f>SUMPRODUCT(ABS(Model!B33:G33))</f>
        <v/>
      </c>
    </row>
    <row r="13">
      <c r="A13" s="5" t="inlineStr">
        <is>
          <t>Check: regional revenue ties to income statement</t>
        </is>
      </c>
      <c r="B13" s="10">
        <f>SUMPRODUCT(ABS(Historical!B13:F13))</f>
        <v/>
      </c>
    </row>
    <row r="14">
      <c r="A14" s="5" t="inlineStr">
        <is>
          <t>Check: historical balance sheets balance</t>
        </is>
      </c>
      <c r="B14" s="10">
        <f>SUMPRODUCT(ABS(Historical!B51:F51))</f>
        <v/>
      </c>
    </row>
    <row r="16">
      <c r="A16" s="3" t="inlineStr">
        <is>
          <t>Legend</t>
        </is>
      </c>
      <c r="B16" s="4" t="inlineStr"/>
    </row>
    <row r="17">
      <c r="A17" s="11" t="inlineStr">
        <is>
          <t>Blue text: hardcoded input or reported figure</t>
        </is>
      </c>
    </row>
    <row r="18">
      <c r="A18" s="12" t="inlineStr">
        <is>
          <t>Black text: formula</t>
        </is>
      </c>
    </row>
    <row r="19">
      <c r="A19" s="13" t="inlineStr">
        <is>
          <t>Green text: link to another sheet</t>
        </is>
      </c>
    </row>
    <row r="20">
      <c r="A20" s="14" t="inlineStr">
        <is>
          <t>Yellow fill: key assumption</t>
        </is>
      </c>
    </row>
    <row r="22">
      <c r="A22" s="3" t="inlineStr">
        <is>
          <t>Sources</t>
        </is>
      </c>
      <c r="B22" s="4" t="inlineStr"/>
    </row>
    <row r="23">
      <c r="A23" s="5" t="inlineStr">
        <is>
          <t>DART OpenAPI (opendart.fss.or.kr): FY2025 annual report, 1H2026 half-year report, notes, filings</t>
        </is>
      </c>
    </row>
    <row r="24">
      <c r="A24" s="5" t="inlineStr">
        <is>
          <t>FinanceDataReader: KOSPI listing and prices, 25 Sep 2026</t>
        </is>
      </c>
    </row>
    <row r="25">
      <c r="A25" s="5" t="inlineStr">
        <is>
          <t>FRED IRLTLT01KRM156N: Korea 10-year government bond yield</t>
        </is>
      </c>
    </row>
    <row r="26">
      <c r="A26" s="5" t="inlineStr">
        <is>
          <t>Damodaran Online, Jan 2026: country risk premiums, global industry betas, synthetic ratings</t>
        </is>
      </c>
    </row>
    <row r="27">
      <c r="A27" s="5" t="inlineStr">
        <is>
          <t>Yahoo Finance via yfinance: peer market data (see Comps sheet for fetch 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90" customWidth="1" min="8" max="8"/>
  </cols>
  <sheetData>
    <row r="1">
      <c r="A1" s="1" t="inlineStr">
        <is>
          <t>Inputs and assumptions</t>
        </is>
      </c>
    </row>
    <row r="2">
      <c r="A2" s="2" t="inlineStr">
        <is>
          <t>Blue = hardcoded input, black = formula, green = link to another sheet, yellow = key assumption. Confirmed by the analyst on 2026-09-25.</t>
        </is>
      </c>
    </row>
    <row r="4">
      <c r="A4" s="3" t="inlineStr">
        <is>
          <t>Scalar input</t>
        </is>
      </c>
      <c r="B4" s="4" t="inlineStr">
        <is>
          <t>Value</t>
        </is>
      </c>
      <c r="C4" s="4" t="inlineStr"/>
      <c r="D4" s="4" t="inlineStr"/>
      <c r="E4" s="4" t="inlineStr"/>
      <c r="F4" s="4" t="inlineStr"/>
      <c r="G4" s="4" t="inlineStr"/>
      <c r="H4" s="4" t="inlineStr">
        <is>
          <t>Source / rationale</t>
        </is>
      </c>
    </row>
    <row r="5">
      <c r="A5" s="15" t="inlineStr">
        <is>
          <t>Market data (25 Sep 2026)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5" t="inlineStr">
        <is>
          <t>Share price (KRW)</t>
        </is>
      </c>
      <c r="B6" s="17" t="n">
        <v>60200</v>
      </c>
      <c r="H6" s="18" t="inlineStr">
        <is>
          <t>FinanceDataReader KOSPI listing, close 25 Sep 2026</t>
        </is>
      </c>
    </row>
    <row r="7">
      <c r="A7" s="5" t="inlineStr">
        <is>
          <t>Common shares listed</t>
        </is>
      </c>
      <c r="B7" s="17" t="n">
        <v>14568592</v>
      </c>
      <c r="H7" s="18" t="inlineStr">
        <is>
          <t>FinanceDataReader KOSPI listing</t>
        </is>
      </c>
    </row>
    <row r="8">
      <c r="A8" s="5" t="inlineStr">
        <is>
          <t>Treasury shares</t>
        </is>
      </c>
      <c r="B8" s="17" t="n">
        <v>115660</v>
      </c>
      <c r="H8" s="18" t="inlineStr">
        <is>
          <t>DART FY2025 annual report, treasury stock table</t>
        </is>
      </c>
    </row>
    <row r="9">
      <c r="A9" s="5" t="inlineStr">
        <is>
          <t>Shares outstanding</t>
        </is>
      </c>
      <c r="B9" s="19">
        <f>B7-B8</f>
        <v/>
      </c>
      <c r="H9" s="18" t="inlineStr">
        <is>
          <t>Listed less treasury</t>
        </is>
      </c>
    </row>
    <row r="10">
      <c r="A10" s="15" t="inlineStr">
        <is>
          <t>Discount rate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5" t="inlineStr">
        <is>
          <t>Risk-free rate</t>
        </is>
      </c>
      <c r="B11" s="20" t="n">
        <v>0.04286</v>
      </c>
      <c r="H11" s="18" t="inlineStr">
        <is>
          <t>Korea 10Y government bond yield, 2026-08, FRED IRLTLT01KRM156N</t>
        </is>
      </c>
    </row>
    <row r="12">
      <c r="A12" s="5" t="inlineStr">
        <is>
          <t>Equity risk premium</t>
        </is>
      </c>
      <c r="B12" s="20" t="n">
        <v>0.04869</v>
      </c>
      <c r="H12" s="18" t="inlineStr">
        <is>
          <t>Damodaran country risk premiums, Jan 2026, Korea total ERP</t>
        </is>
      </c>
    </row>
    <row r="13">
      <c r="A13" s="5" t="inlineStr">
        <is>
          <t>Unlevered beta</t>
        </is>
      </c>
      <c r="B13" s="21" t="n">
        <v>0.8588</v>
      </c>
      <c r="H13" s="18" t="inlineStr">
        <is>
          <t>Damodaran global industry betas, Jan 2026, Building Materials</t>
        </is>
      </c>
    </row>
    <row r="14">
      <c r="A14" s="5" t="inlineStr">
        <is>
          <t>Marginal tax rate (debt shield, relevering)</t>
        </is>
      </c>
      <c r="B14" s="22" t="n">
        <v>0.264</v>
      </c>
      <c r="H14" s="18" t="inlineStr">
        <is>
          <t>Korea statutory rate incl. local tax, Damodaran country tax rates</t>
        </is>
      </c>
    </row>
    <row r="15">
      <c r="A15" s="5" t="inlineStr">
        <is>
          <t>Debt spread over risk-free</t>
        </is>
      </c>
      <c r="B15" s="23" t="n">
        <v>0.004</v>
      </c>
      <c r="H15" s="18" t="inlineStr">
        <is>
          <t>Damodaran synthetic rating, smaller firms: coverage &gt; 12.5x = AAA. FY25 EBIT / interest paid = 15.3x</t>
        </is>
      </c>
    </row>
    <row r="16">
      <c r="A16" s="5" t="inlineStr">
        <is>
          <t>Pre-tax cost of debt</t>
        </is>
      </c>
      <c r="B16" s="24">
        <f>B11+B15</f>
        <v/>
      </c>
      <c r="H16" s="18" t="inlineStr">
        <is>
          <t>Risk-free rate + spread</t>
        </is>
      </c>
    </row>
    <row r="17">
      <c r="A17" s="5" t="inlineStr">
        <is>
          <t>Terminal growth</t>
        </is>
      </c>
      <c r="B17" s="25" t="n">
        <v>0.02</v>
      </c>
      <c r="H17" s="18" t="inlineStr">
        <is>
          <t>Bank of Korea inflation target</t>
        </is>
      </c>
    </row>
    <row r="18">
      <c r="A18" s="15" t="inlineStr">
        <is>
          <t>Operating assumptions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5" t="inlineStr">
        <is>
          <t>Tax rate on EBIT</t>
        </is>
      </c>
      <c r="B19" s="26">
        <f>AVERAGE(Historical!C30:D30)</f>
        <v/>
      </c>
      <c r="H19" s="18" t="inlineStr">
        <is>
          <t>Average of tax at applicable rates / PBT, FY2024 and FY2025 (excludes deferred tax swings)</t>
        </is>
      </c>
    </row>
    <row r="20">
      <c r="A20" s="5" t="inlineStr">
        <is>
          <t>Operating margin, 2H2026E</t>
        </is>
      </c>
      <c r="B20" s="26">
        <f>(Historical!D17-Historical!E17)/(Historical!D12-Historical!E12)</f>
        <v/>
      </c>
      <c r="H20" s="18" t="inlineStr">
        <is>
          <t>Equal to 2H2025 actual margin. 1H2026 includes undisclosed US tariff refunds, so it is not extrapolated</t>
        </is>
      </c>
    </row>
    <row r="21">
      <c r="A21" s="5" t="inlineStr">
        <is>
          <t>Operating margin, FY2027E onward</t>
        </is>
      </c>
      <c r="B21" s="25" t="n">
        <v>0.095</v>
      </c>
      <c r="H21" s="18" t="inlineStr">
        <is>
          <t>FY2023 to FY2025 average 9.4%, range 8.8% to 9.8%</t>
        </is>
      </c>
    </row>
    <row r="22">
      <c r="A22" s="5" t="inlineStr">
        <is>
          <t>D&amp;A / revenue</t>
        </is>
      </c>
      <c r="B22" s="22" t="n">
        <v>0.035</v>
      </c>
      <c r="H22" s="18" t="inlineStr">
        <is>
          <t>FY2024 and FY2025 both 3.5%</t>
        </is>
      </c>
    </row>
    <row r="23">
      <c r="A23" s="5" t="inlineStr">
        <is>
          <t>Net working capital / revenue</t>
        </is>
      </c>
      <c r="B23" s="22" t="n">
        <v>0.26</v>
      </c>
      <c r="H23" s="18" t="inlineStr">
        <is>
          <t>FY2024 26.3%, FY2025 27.7%</t>
        </is>
      </c>
    </row>
    <row r="24">
      <c r="A24" s="5" t="inlineStr">
        <is>
          <t>DPS, FY2026E onward (KRW)</t>
        </is>
      </c>
      <c r="B24" s="17" t="n">
        <v>750</v>
      </c>
      <c r="H24" s="18" t="inlineStr">
        <is>
          <t>Held at FY2025 DPS of KRW 750 (DART dividend table). No policy change assumed</t>
        </is>
      </c>
    </row>
    <row r="25">
      <c r="A25" s="5" t="inlineStr">
        <is>
          <t>Commax acquisition, cash consideration</t>
        </is>
      </c>
      <c r="B25" s="27" t="n">
        <v>31.729097</v>
      </c>
      <c r="H25" s="18" t="inlineStr">
        <is>
          <t>DART 1H2026 notes, business combination (paid 2026)</t>
        </is>
      </c>
    </row>
    <row r="26">
      <c r="A26" s="5" t="inlineStr">
        <is>
          <t>Rating band (+/-)</t>
        </is>
      </c>
      <c r="B26" s="22" t="n">
        <v>0.15</v>
      </c>
      <c r="H26" s="18" t="inlineStr">
        <is>
          <t>Overweight above +15%, Underweight below -15%, else Neutral</t>
        </is>
      </c>
    </row>
    <row r="28">
      <c r="A28" s="3" t="inlineStr">
        <is>
          <t>Time-series input</t>
        </is>
      </c>
      <c r="B28" s="4" t="inlineStr"/>
      <c r="C28" s="4" t="inlineStr">
        <is>
          <t>FY2026E</t>
        </is>
      </c>
      <c r="D28" s="4" t="inlineStr">
        <is>
          <t>FY2027E</t>
        </is>
      </c>
      <c r="E28" s="4" t="inlineStr">
        <is>
          <t>FY2028E</t>
        </is>
      </c>
      <c r="F28" s="4" t="inlineStr">
        <is>
          <t>FY2029E</t>
        </is>
      </c>
      <c r="G28" s="4" t="inlineStr">
        <is>
          <t>FY2030E</t>
        </is>
      </c>
      <c r="H28" s="4" t="inlineStr">
        <is>
          <t>Source / rationale</t>
        </is>
      </c>
    </row>
    <row r="29">
      <c r="A29" s="5" t="inlineStr">
        <is>
          <t>Revenue growth: North America</t>
        </is>
      </c>
      <c r="C29" s="25" t="n">
        <v>0.07000000000000001</v>
      </c>
      <c r="D29" s="25" t="n">
        <v>0.07000000000000001</v>
      </c>
      <c r="E29" s="25" t="n">
        <v>0.06</v>
      </c>
      <c r="F29" s="25" t="n">
        <v>0.05</v>
      </c>
      <c r="G29" s="25" t="n">
        <v>0.04</v>
      </c>
      <c r="H29" s="18" t="inlineStr">
        <is>
          <t>1H26 +7.1%. Slowing from +17.2% (FY24), +11.7% (FY25)</t>
        </is>
      </c>
    </row>
    <row r="30">
      <c r="A30" s="5" t="inlineStr">
        <is>
          <t>Revenue growth: Korea (incl. Commax)</t>
        </is>
      </c>
      <c r="C30" s="25" t="n">
        <v>0</v>
      </c>
      <c r="D30" s="25" t="n">
        <v>0.03</v>
      </c>
      <c r="E30" s="25" t="n">
        <v>0.03</v>
      </c>
      <c r="F30" s="25" t="n">
        <v>0.03</v>
      </c>
      <c r="G30" s="25" t="n">
        <v>0.03</v>
      </c>
      <c r="H30" s="18" t="inlineStr">
        <is>
          <t>1H26 flat even with Commax consolidated</t>
        </is>
      </c>
    </row>
    <row r="31">
      <c r="A31" s="5" t="inlineStr">
        <is>
          <t>Revenue growth: Russia</t>
        </is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18" t="inlineStr">
        <is>
          <t>FY23 to FY25 CAGR +0.1%, sanctions risk</t>
        </is>
      </c>
    </row>
    <row r="32">
      <c r="A32" s="5" t="inlineStr">
        <is>
          <t>Revenue growth: China</t>
        </is>
      </c>
      <c r="C32" s="25" t="n">
        <v>-0.05</v>
      </c>
      <c r="D32" s="25" t="n">
        <v>-0.05</v>
      </c>
      <c r="E32" s="25" t="n">
        <v>-0.05</v>
      </c>
      <c r="F32" s="25" t="n">
        <v>-0.05</v>
      </c>
      <c r="G32" s="25" t="n">
        <v>-0.05</v>
      </c>
      <c r="H32" s="18" t="inlineStr">
        <is>
          <t>FY23 to FY25 CAGR -12.1%</t>
        </is>
      </c>
    </row>
    <row r="33">
      <c r="A33" s="5" t="inlineStr">
        <is>
          <t>Revenue growth: Other overseas</t>
        </is>
      </c>
      <c r="C33" s="25" t="n">
        <v>0.2</v>
      </c>
      <c r="D33" s="25" t="n">
        <v>0.15</v>
      </c>
      <c r="E33" s="25" t="n">
        <v>0.12</v>
      </c>
      <c r="F33" s="25" t="n">
        <v>0.1</v>
      </c>
      <c r="G33" s="25" t="n">
        <v>0.08</v>
      </c>
      <c r="H33" s="18" t="inlineStr">
        <is>
          <t>FY23 to FY25 CAGR +31.4%, small base</t>
        </is>
      </c>
    </row>
    <row r="34">
      <c r="A34" s="5" t="inlineStr">
        <is>
          <t>Capex / revenue</t>
        </is>
      </c>
      <c r="C34" s="25" t="n">
        <v>0.07000000000000001</v>
      </c>
      <c r="D34" s="25" t="n">
        <v>0.05</v>
      </c>
      <c r="E34" s="25" t="n">
        <v>0.045</v>
      </c>
      <c r="F34" s="25" t="n">
        <v>0.045</v>
      </c>
      <c r="G34" s="25" t="n">
        <v>0.045</v>
      </c>
      <c r="H34" s="18" t="inlineStr">
        <is>
          <t>1H26 8.1%. Seotan expansion completed Jul 2026. Pre-expansion FY23: 5.4%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2" customWidth="1" min="7" max="7"/>
  </cols>
  <sheetData>
    <row r="1">
      <c r="A1" s="1" t="inlineStr">
        <is>
          <t>Historical financials (consolidated, KRW bn)</t>
        </is>
      </c>
    </row>
    <row r="2">
      <c r="A2" s="2" t="inlineStr">
        <is>
          <t>Source: DART OpenAPI, FY2025 annual report (FY2023 to FY2025) and 1H2026 half-year report. Notes items marked.</t>
        </is>
      </c>
    </row>
    <row r="4">
      <c r="A4" s="3" t="inlineStr">
        <is>
          <t>KRW bn</t>
        </is>
      </c>
      <c r="B4" s="4" t="inlineStr">
        <is>
          <t>FY2023</t>
        </is>
      </c>
      <c r="C4" s="4" t="inlineStr">
        <is>
          <t>FY2024</t>
        </is>
      </c>
      <c r="D4" s="4" t="inlineStr">
        <is>
          <t>FY2025</t>
        </is>
      </c>
      <c r="E4" s="4" t="inlineStr">
        <is>
          <t>1H2025</t>
        </is>
      </c>
      <c r="F4" s="4" t="inlineStr">
        <is>
          <t>1H2026</t>
        </is>
      </c>
      <c r="G4" s="4" t="inlineStr">
        <is>
          <t>Source</t>
        </is>
      </c>
    </row>
    <row r="5">
      <c r="A5" s="15" t="inlineStr">
        <is>
          <t>Income statement</t>
        </is>
      </c>
      <c r="B5" s="16" t="n"/>
      <c r="C5" s="16" t="n"/>
      <c r="D5" s="16" t="n"/>
      <c r="E5" s="16" t="n"/>
      <c r="F5" s="16" t="n"/>
      <c r="G5" s="16" t="n"/>
    </row>
    <row r="6">
      <c r="A6" s="5" t="inlineStr">
        <is>
          <t>Revenue: Korea</t>
        </is>
      </c>
      <c r="B6" s="27" t="n">
        <v>389.731877</v>
      </c>
      <c r="C6" s="27" t="n">
        <v>411.549738</v>
      </c>
      <c r="D6" s="27" t="n">
        <v>458.396757</v>
      </c>
      <c r="E6" s="27" t="n">
        <v>228.831414</v>
      </c>
      <c r="F6" s="27" t="n">
        <v>228.582661</v>
      </c>
      <c r="G6" s="18" t="inlineStr">
        <is>
          <t>DART notes, geographic disclosure</t>
        </is>
      </c>
    </row>
    <row r="7">
      <c r="A7" s="5" t="inlineStr">
        <is>
          <t>Revenue: North America</t>
        </is>
      </c>
      <c r="B7" s="27" t="n">
        <v>660.915049</v>
      </c>
      <c r="C7" s="27" t="n">
        <v>774.931923</v>
      </c>
      <c r="D7" s="27" t="n">
        <v>865.778487</v>
      </c>
      <c r="E7" s="27" t="n">
        <v>471.574511</v>
      </c>
      <c r="F7" s="27" t="n">
        <v>504.994164</v>
      </c>
      <c r="G7" s="18" t="inlineStr">
        <is>
          <t>DART notes, geographic disclosure</t>
        </is>
      </c>
    </row>
    <row r="8">
      <c r="A8" s="5" t="inlineStr">
        <is>
          <t>Revenue: Russia</t>
        </is>
      </c>
      <c r="B8" s="27" t="n">
        <v>79.872522</v>
      </c>
      <c r="C8" s="27" t="n">
        <v>78.690989</v>
      </c>
      <c r="D8" s="27" t="n">
        <v>80.044573</v>
      </c>
      <c r="E8" s="27" t="n">
        <v>28.757106</v>
      </c>
      <c r="F8" s="27" t="n">
        <v>35.326866</v>
      </c>
      <c r="G8" s="18" t="inlineStr">
        <is>
          <t>DART notes, geographic disclosure</t>
        </is>
      </c>
    </row>
    <row r="9">
      <c r="A9" s="5" t="inlineStr">
        <is>
          <t>Revenue: China</t>
        </is>
      </c>
      <c r="B9" s="27" t="n">
        <v>30.857741</v>
      </c>
      <c r="C9" s="27" t="n">
        <v>30.711092</v>
      </c>
      <c r="D9" s="27" t="n">
        <v>23.935346</v>
      </c>
      <c r="E9" s="27" t="n">
        <v>6.720572</v>
      </c>
      <c r="F9" s="27" t="n">
        <v>7.872262</v>
      </c>
      <c r="G9" s="18" t="inlineStr">
        <is>
          <t>DART notes, geographic disclosure</t>
        </is>
      </c>
    </row>
    <row r="10">
      <c r="A10" s="5" t="inlineStr">
        <is>
          <t>Revenue: Other overseas</t>
        </is>
      </c>
      <c r="B10" s="27" t="n">
        <v>42.935682</v>
      </c>
      <c r="C10" s="27" t="n">
        <v>57.9957</v>
      </c>
      <c r="D10" s="27" t="n">
        <v>74.084566</v>
      </c>
      <c r="E10" s="27" t="n">
        <v>21.574697</v>
      </c>
      <c r="F10" s="27" t="n">
        <v>36.74376</v>
      </c>
      <c r="G10" s="18" t="inlineStr">
        <is>
          <t>DART notes, geographic disclosure</t>
        </is>
      </c>
    </row>
    <row r="11">
      <c r="A11" s="28" t="inlineStr">
        <is>
          <t>Total revenue</t>
        </is>
      </c>
      <c r="B11" s="10">
        <f>SUM(B6:B10)</f>
        <v/>
      </c>
      <c r="C11" s="10">
        <f>SUM(C6:C10)</f>
        <v/>
      </c>
      <c r="D11" s="10">
        <f>SUM(D6:D10)</f>
        <v/>
      </c>
      <c r="E11" s="10">
        <f>SUM(E6:E10)</f>
        <v/>
      </c>
      <c r="F11" s="10">
        <f>SUM(F6:F10)</f>
        <v/>
      </c>
      <c r="G11" s="18" t="inlineStr">
        <is>
          <t>Formula</t>
        </is>
      </c>
    </row>
    <row r="12">
      <c r="A12" s="5" t="inlineStr">
        <is>
          <t>Revenue per income statement</t>
        </is>
      </c>
      <c r="B12" s="27" t="n">
        <v>1204.312871752</v>
      </c>
      <c r="C12" s="27" t="n">
        <v>1353.879442184</v>
      </c>
      <c r="D12" s="27" t="n">
        <v>1502.239729157</v>
      </c>
      <c r="E12" s="27" t="n">
        <v>757.458301255</v>
      </c>
      <c r="F12" s="27" t="n">
        <v>813.519712799</v>
      </c>
      <c r="G12" s="18" t="inlineStr">
        <is>
          <t>DART CFS</t>
        </is>
      </c>
    </row>
    <row r="13">
      <c r="A13" s="5" t="inlineStr">
        <is>
          <t>Check: regions minus income statement</t>
        </is>
      </c>
      <c r="B13" s="10">
        <f>B11-B12</f>
        <v/>
      </c>
      <c r="C13" s="10">
        <f>C11-C12</f>
        <v/>
      </c>
      <c r="D13" s="10">
        <f>D11-D12</f>
        <v/>
      </c>
      <c r="E13" s="10">
        <f>E11-E12</f>
        <v/>
      </c>
      <c r="F13" s="10">
        <f>F11-F12</f>
        <v/>
      </c>
      <c r="G13" s="18" t="inlineStr">
        <is>
          <t>Formula</t>
        </is>
      </c>
    </row>
    <row r="14">
      <c r="A14" s="5" t="inlineStr">
        <is>
          <t>Cost of sales</t>
        </is>
      </c>
      <c r="B14" s="27" t="n">
        <v>690.3343530339999</v>
      </c>
      <c r="C14" s="27" t="n">
        <v>743.320161449</v>
      </c>
      <c r="D14" s="27" t="n">
        <v>863.742901395</v>
      </c>
      <c r="E14" s="27" t="n">
        <v>416.695893846</v>
      </c>
      <c r="F14" s="27" t="n">
        <v>407.581300418</v>
      </c>
      <c r="G14" s="18" t="inlineStr">
        <is>
          <t>DART CFS</t>
        </is>
      </c>
    </row>
    <row r="15">
      <c r="A15" s="5" t="inlineStr">
        <is>
          <t>Gross profit</t>
        </is>
      </c>
      <c r="B15" s="10">
        <f>B12-B14</f>
        <v/>
      </c>
      <c r="C15" s="10">
        <f>C12-C14</f>
        <v/>
      </c>
      <c r="D15" s="10">
        <f>D12-D14</f>
        <v/>
      </c>
      <c r="E15" s="10">
        <f>E12-E14</f>
        <v/>
      </c>
      <c r="F15" s="10">
        <f>F12-F14</f>
        <v/>
      </c>
      <c r="G15" s="18" t="inlineStr">
        <is>
          <t>Formula</t>
        </is>
      </c>
    </row>
    <row r="16">
      <c r="A16" s="5" t="inlineStr">
        <is>
          <t>SG&amp;A</t>
        </is>
      </c>
      <c r="B16" s="27" t="n">
        <v>408.067980863</v>
      </c>
      <c r="C16" s="27" t="n">
        <v>477.983230283</v>
      </c>
      <c r="D16" s="27" t="n">
        <v>495.119934229</v>
      </c>
      <c r="E16" s="27" t="n">
        <v>250.122064909</v>
      </c>
      <c r="F16" s="27" t="n">
        <v>257.866939489</v>
      </c>
      <c r="G16" s="18" t="inlineStr">
        <is>
          <t>DART CFS</t>
        </is>
      </c>
    </row>
    <row r="17">
      <c r="A17" s="28" t="inlineStr">
        <is>
          <t>Operating profit</t>
        </is>
      </c>
      <c r="B17" s="27" t="n">
        <v>105.910537855</v>
      </c>
      <c r="C17" s="27" t="n">
        <v>132.576050452</v>
      </c>
      <c r="D17" s="27" t="n">
        <v>143.376893533</v>
      </c>
      <c r="E17" s="27" t="n">
        <v>90.6403425</v>
      </c>
      <c r="F17" s="27" t="n">
        <v>148.071472892</v>
      </c>
      <c r="G17" s="18" t="inlineStr">
        <is>
          <t>DART CFS</t>
        </is>
      </c>
    </row>
    <row r="18">
      <c r="A18" s="5" t="inlineStr">
        <is>
          <t>Depreciation and amortization</t>
        </is>
      </c>
      <c r="C18" s="27" t="n">
        <v>47.372658</v>
      </c>
      <c r="D18" s="27" t="n">
        <v>52.812497</v>
      </c>
      <c r="E18" s="27" t="n">
        <v>25.783551</v>
      </c>
      <c r="F18" s="27" t="n">
        <v>27.340245</v>
      </c>
      <c r="G18" s="18" t="inlineStr">
        <is>
          <t>DART notes, expenses by nature</t>
        </is>
      </c>
    </row>
    <row r="19">
      <c r="A19" s="5" t="inlineStr">
        <is>
          <t>EBITDA</t>
        </is>
      </c>
      <c r="C19" s="10">
        <f>C17+C18</f>
        <v/>
      </c>
      <c r="D19" s="10">
        <f>D17+D18</f>
        <v/>
      </c>
      <c r="E19" s="10">
        <f>E17+E18</f>
        <v/>
      </c>
      <c r="F19" s="10">
        <f>F17+F18</f>
        <v/>
      </c>
      <c r="G19" s="18" t="inlineStr">
        <is>
          <t>Formula</t>
        </is>
      </c>
    </row>
    <row r="20">
      <c r="A20" s="5" t="inlineStr">
        <is>
          <t>Profit before tax</t>
        </is>
      </c>
      <c r="B20" s="27" t="n">
        <v>107.291579864</v>
      </c>
      <c r="C20" s="27" t="n">
        <v>152.755596218</v>
      </c>
      <c r="D20" s="27" t="n">
        <v>150.644711125</v>
      </c>
      <c r="E20" s="27" t="n">
        <v>82.161662256</v>
      </c>
      <c r="F20" s="27" t="n">
        <v>166.181326026</v>
      </c>
      <c r="G20" s="18" t="inlineStr">
        <is>
          <t>DART CFS</t>
        </is>
      </c>
    </row>
    <row r="21">
      <c r="A21" s="5" t="inlineStr">
        <is>
          <t>Income tax expense</t>
        </is>
      </c>
      <c r="B21" s="27" t="n">
        <v>24.142868526</v>
      </c>
      <c r="C21" s="27" t="n">
        <v>28.414675243</v>
      </c>
      <c r="D21" s="27" t="n">
        <v>60.945838719</v>
      </c>
      <c r="E21" s="27" t="n">
        <v>25.121182886</v>
      </c>
      <c r="F21" s="27" t="n">
        <v>39.720500397</v>
      </c>
      <c r="G21" s="18" t="inlineStr">
        <is>
          <t>DART CFS</t>
        </is>
      </c>
    </row>
    <row r="22">
      <c r="A22" s="5" t="inlineStr">
        <is>
          <t>Net income</t>
        </is>
      </c>
      <c r="B22" s="27" t="n">
        <v>83.148711338</v>
      </c>
      <c r="C22" s="27" t="n">
        <v>124.340920975</v>
      </c>
      <c r="D22" s="27" t="n">
        <v>89.69887240600001</v>
      </c>
      <c r="E22" s="27" t="n">
        <v>57.04047937</v>
      </c>
      <c r="F22" s="27" t="n">
        <v>126.460825629</v>
      </c>
      <c r="G22" s="18" t="inlineStr">
        <is>
          <t>DART CFS</t>
        </is>
      </c>
    </row>
    <row r="23">
      <c r="A23" s="28" t="inlineStr">
        <is>
          <t>Net income attributable to parent</t>
        </is>
      </c>
      <c r="B23" s="27" t="n">
        <v>83.148711338</v>
      </c>
      <c r="C23" s="27" t="n">
        <v>124.340920975</v>
      </c>
      <c r="D23" s="27" t="n">
        <v>89.69887240600001</v>
      </c>
      <c r="E23" s="27" t="n">
        <v>57.04047937</v>
      </c>
      <c r="F23" s="27" t="n">
        <v>125.688054937</v>
      </c>
      <c r="G23" s="18" t="inlineStr">
        <is>
          <t>DART CFS</t>
        </is>
      </c>
    </row>
    <row r="24">
      <c r="A24" s="5" t="inlineStr">
        <is>
          <t>Tax at applicable rates (tax reconciliation)</t>
        </is>
      </c>
      <c r="C24" s="27" t="n">
        <v>46.41768</v>
      </c>
      <c r="D24" s="27" t="n">
        <v>44.18003</v>
      </c>
      <c r="G24" s="18" t="inlineStr">
        <is>
          <t>DART notes, income tax reconciliation</t>
        </is>
      </c>
    </row>
    <row r="25">
      <c r="A25" s="15" t="inlineStr">
        <is>
          <t>Ratios</t>
        </is>
      </c>
      <c r="B25" s="16" t="n"/>
      <c r="C25" s="16" t="n"/>
      <c r="D25" s="16" t="n"/>
      <c r="E25" s="16" t="n"/>
      <c r="F25" s="16" t="n"/>
      <c r="G25" s="16" t="n"/>
    </row>
    <row r="26">
      <c r="A26" s="5" t="inlineStr">
        <is>
          <t>Revenue growth</t>
        </is>
      </c>
      <c r="C26" s="26">
        <f>C12/B12-1</f>
        <v/>
      </c>
      <c r="D26" s="26">
        <f>D12/C12-1</f>
        <v/>
      </c>
      <c r="F26" s="26">
        <f>F12/E12-1</f>
        <v/>
      </c>
      <c r="G26" s="18" t="inlineStr">
        <is>
          <t>1H2026 column is growth vs 1H2025</t>
        </is>
      </c>
    </row>
    <row r="27">
      <c r="A27" s="5" t="inlineStr">
        <is>
          <t>Gross margin</t>
        </is>
      </c>
      <c r="B27" s="26">
        <f>B15/B12</f>
        <v/>
      </c>
      <c r="C27" s="26">
        <f>C15/C12</f>
        <v/>
      </c>
      <c r="D27" s="26">
        <f>D15/D12</f>
        <v/>
      </c>
      <c r="E27" s="26">
        <f>E15/E12</f>
        <v/>
      </c>
      <c r="F27" s="26">
        <f>F15/F12</f>
        <v/>
      </c>
      <c r="G27" s="18" t="inlineStr">
        <is>
          <t>Formula</t>
        </is>
      </c>
    </row>
    <row r="28">
      <c r="A28" s="5" t="inlineStr">
        <is>
          <t>Operating margin</t>
        </is>
      </c>
      <c r="B28" s="26">
        <f>B17/B12</f>
        <v/>
      </c>
      <c r="C28" s="26">
        <f>C17/C12</f>
        <v/>
      </c>
      <c r="D28" s="26">
        <f>D17/D12</f>
        <v/>
      </c>
      <c r="E28" s="26">
        <f>E17/E12</f>
        <v/>
      </c>
      <c r="F28" s="26">
        <f>F17/F12</f>
        <v/>
      </c>
      <c r="G28" s="18" t="inlineStr">
        <is>
          <t>Formula</t>
        </is>
      </c>
    </row>
    <row r="29">
      <c r="A29" s="5" t="inlineStr">
        <is>
          <t>Effective tax rate</t>
        </is>
      </c>
      <c r="B29" s="26">
        <f>B21/B20</f>
        <v/>
      </c>
      <c r="C29" s="26">
        <f>C21/C20</f>
        <v/>
      </c>
      <c r="D29" s="26">
        <f>D21/D20</f>
        <v/>
      </c>
      <c r="E29" s="26">
        <f>E21/E20</f>
        <v/>
      </c>
      <c r="F29" s="26">
        <f>F21/F20</f>
        <v/>
      </c>
      <c r="G29" s="18" t="inlineStr">
        <is>
          <t>Formula</t>
        </is>
      </c>
    </row>
    <row r="30">
      <c r="A30" s="5" t="inlineStr">
        <is>
          <t>Tax at applicable rates / profit before tax</t>
        </is>
      </c>
      <c r="C30" s="26">
        <f>C24/C20</f>
        <v/>
      </c>
      <c r="D30" s="26">
        <f>D24/D20</f>
        <v/>
      </c>
      <c r="G30" s="18" t="inlineStr">
        <is>
          <t>Formula</t>
        </is>
      </c>
    </row>
    <row r="31">
      <c r="A31" s="5" t="inlineStr">
        <is>
          <t>D&amp;A / revenue</t>
        </is>
      </c>
      <c r="C31" s="26">
        <f>C18/C12</f>
        <v/>
      </c>
      <c r="D31" s="26">
        <f>D18/D12</f>
        <v/>
      </c>
      <c r="E31" s="26">
        <f>E18/E12</f>
        <v/>
      </c>
      <c r="F31" s="26">
        <f>F18/F12</f>
        <v/>
      </c>
      <c r="G31" s="18" t="inlineStr">
        <is>
          <t>Formula</t>
        </is>
      </c>
    </row>
    <row r="32">
      <c r="A32" s="15" t="inlineStr">
        <is>
          <t>Balance sheet (period end)</t>
        </is>
      </c>
      <c r="B32" s="16" t="n"/>
      <c r="C32" s="16" t="n"/>
      <c r="D32" s="16" t="n"/>
      <c r="E32" s="16" t="n"/>
      <c r="F32" s="16" t="n"/>
      <c r="G32" s="16" t="n"/>
    </row>
    <row r="33">
      <c r="A33" s="5" t="inlineStr">
        <is>
          <t>Cash and cash equivalents</t>
        </is>
      </c>
      <c r="B33" s="27" t="n">
        <v>82.77172131899999</v>
      </c>
      <c r="C33" s="27" t="n">
        <v>100.004827455</v>
      </c>
      <c r="D33" s="27" t="n">
        <v>148.688970518</v>
      </c>
      <c r="F33" s="27" t="n">
        <v>150.519289838</v>
      </c>
      <c r="G33" s="18" t="inlineStr">
        <is>
          <t>DART CFS</t>
        </is>
      </c>
    </row>
    <row r="34">
      <c r="A34" s="5" t="inlineStr">
        <is>
          <t>Short-term deposits</t>
        </is>
      </c>
      <c r="B34" s="27" t="n">
        <v>18.842120009</v>
      </c>
      <c r="C34" s="27" t="n">
        <v>24.230116525</v>
      </c>
      <c r="D34" s="27" t="n">
        <v>1.615136598</v>
      </c>
      <c r="F34" s="27" t="n">
        <v>4.285741278</v>
      </c>
      <c r="G34" s="18" t="inlineStr">
        <is>
          <t>DART CFS</t>
        </is>
      </c>
    </row>
    <row r="35">
      <c r="A35" s="5" t="inlineStr">
        <is>
          <t>Long-term deposits</t>
        </is>
      </c>
      <c r="B35" s="27" t="n">
        <v>9.775590515999999</v>
      </c>
      <c r="C35" s="27" t="n">
        <v>6.149884857</v>
      </c>
      <c r="D35" s="27" t="n">
        <v>9.674202812000001</v>
      </c>
      <c r="F35" s="27" t="n">
        <v>4.006451119</v>
      </c>
      <c r="G35" s="18" t="inlineStr">
        <is>
          <t>DART CFS</t>
        </is>
      </c>
    </row>
    <row r="36">
      <c r="A36" s="5" t="inlineStr">
        <is>
          <t>Trade receivables</t>
        </is>
      </c>
      <c r="B36" s="27" t="n">
        <v>118.71334901</v>
      </c>
      <c r="C36" s="27" t="n">
        <v>150.846620458</v>
      </c>
      <c r="D36" s="27" t="n">
        <v>167.410845749</v>
      </c>
      <c r="F36" s="27" t="n">
        <v>191.214618964</v>
      </c>
      <c r="G36" s="18" t="inlineStr">
        <is>
          <t>DART CFS</t>
        </is>
      </c>
    </row>
    <row r="37">
      <c r="A37" s="5" t="inlineStr">
        <is>
          <t>Inventories</t>
        </is>
      </c>
      <c r="B37" s="27" t="n">
        <v>300.744110295</v>
      </c>
      <c r="C37" s="27" t="n">
        <v>413.811452082</v>
      </c>
      <c r="D37" s="27" t="n">
        <v>419.802357968</v>
      </c>
      <c r="F37" s="27" t="n">
        <v>427.040786512</v>
      </c>
      <c r="G37" s="18" t="inlineStr">
        <is>
          <t>DART CFS</t>
        </is>
      </c>
    </row>
    <row r="38">
      <c r="A38" s="5" t="inlineStr">
        <is>
          <t>Property, plant and equipment</t>
        </is>
      </c>
      <c r="B38" s="27" t="n">
        <v>394.375083877</v>
      </c>
      <c r="C38" s="27" t="n">
        <v>468.094366737</v>
      </c>
      <c r="D38" s="27" t="n">
        <v>582.239391909</v>
      </c>
      <c r="F38" s="27" t="n">
        <v>680.334907215</v>
      </c>
      <c r="G38" s="18" t="inlineStr">
        <is>
          <t>DART CFS</t>
        </is>
      </c>
    </row>
    <row r="39">
      <c r="A39" s="5" t="inlineStr">
        <is>
          <t>Intangible assets and goodwill</t>
        </is>
      </c>
      <c r="B39" s="27" t="n">
        <v>18.515752129</v>
      </c>
      <c r="C39" s="27" t="n">
        <v>32.899733403</v>
      </c>
      <c r="D39" s="27" t="n">
        <v>36.510878589</v>
      </c>
      <c r="F39" s="27" t="n">
        <v>41.565592677</v>
      </c>
      <c r="G39" s="18" t="inlineStr">
        <is>
          <t>DART CFS</t>
        </is>
      </c>
    </row>
    <row r="40">
      <c r="A40" s="28" t="inlineStr">
        <is>
          <t>Total assets</t>
        </is>
      </c>
      <c r="B40" s="27" t="n">
        <v>1060.557971487</v>
      </c>
      <c r="C40" s="27" t="n">
        <v>1358.870104798</v>
      </c>
      <c r="D40" s="27" t="n">
        <v>1522.167095867</v>
      </c>
      <c r="F40" s="27" t="n">
        <v>1671.824095838</v>
      </c>
      <c r="G40" s="18" t="inlineStr">
        <is>
          <t>DART CFS</t>
        </is>
      </c>
    </row>
    <row r="41">
      <c r="A41" s="5" t="inlineStr">
        <is>
          <t>Trade payables</t>
        </is>
      </c>
      <c r="B41" s="27" t="n">
        <v>152.647192288</v>
      </c>
      <c r="C41" s="27" t="n">
        <v>154.749954453</v>
      </c>
      <c r="D41" s="27" t="n">
        <v>147.027328975</v>
      </c>
      <c r="F41" s="27" t="n">
        <v>152.139141319</v>
      </c>
      <c r="G41" s="18" t="inlineStr">
        <is>
          <t>DART CFS</t>
        </is>
      </c>
    </row>
    <row r="42">
      <c r="A42" s="5" t="inlineStr">
        <is>
          <t>Contract liabilities</t>
        </is>
      </c>
      <c r="B42" s="27" t="n">
        <v>39.632328413</v>
      </c>
      <c r="C42" s="27" t="n">
        <v>54.414638651</v>
      </c>
      <c r="D42" s="27" t="n">
        <v>24.447018519</v>
      </c>
      <c r="F42" s="27" t="n">
        <v>21.25549605</v>
      </c>
      <c r="G42" s="18" t="inlineStr">
        <is>
          <t>DART CFS</t>
        </is>
      </c>
    </row>
    <row r="43">
      <c r="A43" s="5" t="inlineStr">
        <is>
          <t>Short-term borrowings</t>
        </is>
      </c>
      <c r="B43" s="27" t="n">
        <v>94.410033051</v>
      </c>
      <c r="C43" s="27" t="n">
        <v>196.587605282</v>
      </c>
      <c r="D43" s="27" t="n">
        <v>278.142917601</v>
      </c>
      <c r="F43" s="27" t="n">
        <v>276.128430022</v>
      </c>
      <c r="G43" s="18" t="inlineStr">
        <is>
          <t>DART CFS</t>
        </is>
      </c>
    </row>
    <row r="44">
      <c r="A44" s="5" t="inlineStr">
        <is>
          <t>Long-term borrowings</t>
        </is>
      </c>
      <c r="B44" s="27" t="n">
        <v>6.858655507</v>
      </c>
      <c r="C44" s="27" t="n">
        <v>7.322905092</v>
      </c>
      <c r="D44" s="27" t="n">
        <v>64.233267176</v>
      </c>
      <c r="F44" s="27" t="n">
        <v>68.838277168</v>
      </c>
      <c r="G44" s="18" t="inlineStr">
        <is>
          <t>DART CFS</t>
        </is>
      </c>
    </row>
    <row r="45">
      <c r="A45" s="5" t="inlineStr">
        <is>
          <t>Lease liabilities, current</t>
        </is>
      </c>
      <c r="B45" s="27" t="n">
        <v>5.0762637</v>
      </c>
      <c r="C45" s="27" t="n">
        <v>7.164201707</v>
      </c>
      <c r="D45" s="27" t="n">
        <v>7.324454813</v>
      </c>
      <c r="F45" s="27" t="n">
        <v>7.285321831</v>
      </c>
      <c r="G45" s="18" t="inlineStr">
        <is>
          <t>DART CFS</t>
        </is>
      </c>
    </row>
    <row r="46">
      <c r="A46" s="5" t="inlineStr">
        <is>
          <t>Lease liabilities, non-current</t>
        </is>
      </c>
      <c r="B46" s="27" t="n">
        <v>9.216360086</v>
      </c>
      <c r="C46" s="27" t="n">
        <v>9.981728671000001</v>
      </c>
      <c r="D46" s="27" t="n">
        <v>5.216292032</v>
      </c>
      <c r="F46" s="27" t="n">
        <v>6.598973402</v>
      </c>
      <c r="G46" s="18" t="inlineStr">
        <is>
          <t>DART CFS</t>
        </is>
      </c>
    </row>
    <row r="47">
      <c r="A47" s="28" t="inlineStr">
        <is>
          <t>Total liabilities</t>
        </is>
      </c>
      <c r="B47" s="27" t="n">
        <v>475.962722079</v>
      </c>
      <c r="C47" s="27" t="n">
        <v>663.4530951740001</v>
      </c>
      <c r="D47" s="27" t="n">
        <v>751.671610276</v>
      </c>
      <c r="F47" s="27" t="n">
        <v>776.212081466</v>
      </c>
      <c r="G47" s="18" t="inlineStr">
        <is>
          <t>DART CFS</t>
        </is>
      </c>
    </row>
    <row r="48">
      <c r="A48" s="5" t="inlineStr">
        <is>
          <t>Equity attributable to parent</t>
        </is>
      </c>
      <c r="B48" s="27" t="n">
        <v>584.595249408</v>
      </c>
      <c r="C48" s="27" t="n">
        <v>695.417009624</v>
      </c>
      <c r="D48" s="27" t="n">
        <v>770.495485591</v>
      </c>
      <c r="F48" s="27" t="n">
        <v>887.982246842</v>
      </c>
      <c r="G48" s="18" t="inlineStr">
        <is>
          <t>DART CFS</t>
        </is>
      </c>
    </row>
    <row r="49">
      <c r="A49" s="5" t="inlineStr">
        <is>
          <t>Non-controlling interests</t>
        </is>
      </c>
      <c r="B49" s="27" t="n">
        <v>0</v>
      </c>
      <c r="C49" s="27" t="n">
        <v>0</v>
      </c>
      <c r="D49" s="27" t="n">
        <v>0</v>
      </c>
      <c r="F49" s="27" t="n">
        <v>7.62976753</v>
      </c>
      <c r="G49" s="18" t="inlineStr">
        <is>
          <t>DART CFS</t>
        </is>
      </c>
    </row>
    <row r="50">
      <c r="A50" s="28" t="inlineStr">
        <is>
          <t>Total equity</t>
        </is>
      </c>
      <c r="B50" s="27" t="n">
        <v>584.595249408</v>
      </c>
      <c r="C50" s="27" t="n">
        <v>695.417009624</v>
      </c>
      <c r="D50" s="27" t="n">
        <v>770.495485591</v>
      </c>
      <c r="F50" s="27" t="n">
        <v>895.612014372</v>
      </c>
      <c r="G50" s="18" t="inlineStr">
        <is>
          <t>DART CFS</t>
        </is>
      </c>
    </row>
    <row r="51">
      <c r="A51" s="5" t="inlineStr">
        <is>
          <t>Check: assets minus liabilities minus equity</t>
        </is>
      </c>
      <c r="B51" s="10">
        <f>B40-B47-B50</f>
        <v/>
      </c>
      <c r="C51" s="10">
        <f>C40-C47-C50</f>
        <v/>
      </c>
      <c r="D51" s="10">
        <f>D40-D47-D50</f>
        <v/>
      </c>
      <c r="F51" s="10">
        <f>F40-F47-F50</f>
        <v/>
      </c>
      <c r="G51" s="18" t="inlineStr">
        <is>
          <t>Formula</t>
        </is>
      </c>
    </row>
    <row r="52">
      <c r="A52" s="5" t="inlineStr">
        <is>
          <t>Cash and deposits</t>
        </is>
      </c>
      <c r="B52" s="10">
        <f>B33+B34+B35</f>
        <v/>
      </c>
      <c r="C52" s="10">
        <f>C33+C34+C35</f>
        <v/>
      </c>
      <c r="D52" s="10">
        <f>D33+D34+D35</f>
        <v/>
      </c>
      <c r="F52" s="10">
        <f>F33+F34+F35</f>
        <v/>
      </c>
      <c r="G52" s="18" t="inlineStr">
        <is>
          <t>Formula</t>
        </is>
      </c>
    </row>
    <row r="53">
      <c r="A53" s="5" t="inlineStr">
        <is>
          <t>Net working capital (AR + inventory - AP - contract liabilities)</t>
        </is>
      </c>
      <c r="B53" s="10">
        <f>B36+B37-B41-B42</f>
        <v/>
      </c>
      <c r="C53" s="10">
        <f>C36+C37-C41-C42</f>
        <v/>
      </c>
      <c r="D53" s="10">
        <f>D36+D37-D41-D42</f>
        <v/>
      </c>
      <c r="F53" s="10">
        <f>F36+F37-F41-F42</f>
        <v/>
      </c>
      <c r="G53" s="18" t="inlineStr">
        <is>
          <t>Formula</t>
        </is>
      </c>
    </row>
    <row r="54">
      <c r="A54" s="5" t="inlineStr">
        <is>
          <t>Net working capital / revenue</t>
        </is>
      </c>
      <c r="B54" s="26">
        <f>B53/B12</f>
        <v/>
      </c>
      <c r="C54" s="26">
        <f>C53/C12</f>
        <v/>
      </c>
      <c r="D54" s="26">
        <f>D53/D12</f>
        <v/>
      </c>
      <c r="G54" s="18" t="inlineStr">
        <is>
          <t>Formula</t>
        </is>
      </c>
    </row>
    <row r="55">
      <c r="A55" s="5" t="inlineStr">
        <is>
          <t>Gross debt (borrowings + leases)</t>
        </is>
      </c>
      <c r="B55" s="10">
        <f>B43+B44+B45+B46</f>
        <v/>
      </c>
      <c r="C55" s="10">
        <f>C43+C44+C45+C46</f>
        <v/>
      </c>
      <c r="D55" s="10">
        <f>D43+D44+D45+D46</f>
        <v/>
      </c>
      <c r="F55" s="10">
        <f>F43+F44+F45+F46</f>
        <v/>
      </c>
      <c r="G55" s="18" t="inlineStr">
        <is>
          <t>Formula</t>
        </is>
      </c>
    </row>
    <row r="56">
      <c r="A56" s="28" t="inlineStr">
        <is>
          <t>Net debt</t>
        </is>
      </c>
      <c r="B56" s="10">
        <f>B55-B52</f>
        <v/>
      </c>
      <c r="C56" s="10">
        <f>C55-C52</f>
        <v/>
      </c>
      <c r="D56" s="10">
        <f>D55-D52</f>
        <v/>
      </c>
      <c r="F56" s="10">
        <f>F55-F52</f>
        <v/>
      </c>
      <c r="G56" s="18" t="inlineStr">
        <is>
          <t>Formula</t>
        </is>
      </c>
    </row>
    <row r="57">
      <c r="A57" s="5" t="inlineStr">
        <is>
          <t>Net fixed assets (PP&amp;E + intangibles)</t>
        </is>
      </c>
      <c r="B57" s="10">
        <f>B38+B39</f>
        <v/>
      </c>
      <c r="C57" s="10">
        <f>C38+C39</f>
        <v/>
      </c>
      <c r="D57" s="10">
        <f>D38+D39</f>
        <v/>
      </c>
      <c r="F57" s="10">
        <f>F38+F39</f>
        <v/>
      </c>
      <c r="G57" s="18" t="inlineStr">
        <is>
          <t>Formula</t>
        </is>
      </c>
    </row>
    <row r="58">
      <c r="A58" s="15" t="inlineStr">
        <is>
          <t>Cash flow</t>
        </is>
      </c>
      <c r="B58" s="16" t="n"/>
      <c r="C58" s="16" t="n"/>
      <c r="D58" s="16" t="n"/>
      <c r="E58" s="16" t="n"/>
      <c r="F58" s="16" t="n"/>
      <c r="G58" s="16" t="n"/>
    </row>
    <row r="59">
      <c r="A59" s="5" t="inlineStr">
        <is>
          <t>Cash flow from operations</t>
        </is>
      </c>
      <c r="B59" s="27" t="n">
        <v>197.363180983</v>
      </c>
      <c r="C59" s="27" t="n">
        <v>52.52165082</v>
      </c>
      <c r="D59" s="27" t="n">
        <v>71.173203156</v>
      </c>
      <c r="F59" s="27" t="n">
        <v>122.091456567</v>
      </c>
      <c r="G59" s="18" t="inlineStr">
        <is>
          <t>DART CFS</t>
        </is>
      </c>
    </row>
    <row r="60">
      <c r="A60" s="5" t="inlineStr">
        <is>
          <t>Purchase of PP&amp;E</t>
        </is>
      </c>
      <c r="B60" s="27" t="n">
        <v>58.752559952</v>
      </c>
      <c r="C60" s="27" t="n">
        <v>94.349453602</v>
      </c>
      <c r="D60" s="27" t="n">
        <v>153.51052794</v>
      </c>
      <c r="F60" s="27" t="n">
        <v>62.448932676</v>
      </c>
      <c r="G60" s="18" t="inlineStr">
        <is>
          <t>DART CFS</t>
        </is>
      </c>
    </row>
    <row r="61">
      <c r="A61" s="5" t="inlineStr">
        <is>
          <t>Purchase of intangibles</t>
        </is>
      </c>
      <c r="B61" s="27" t="n">
        <v>6.781238261</v>
      </c>
      <c r="C61" s="27" t="n">
        <v>16.978428459</v>
      </c>
      <c r="D61" s="27" t="n">
        <v>8.735484353</v>
      </c>
      <c r="F61" s="27" t="n">
        <v>3.764318168</v>
      </c>
      <c r="G61" s="18" t="inlineStr">
        <is>
          <t>DART CFS</t>
        </is>
      </c>
    </row>
    <row r="62">
      <c r="A62" s="28" t="inlineStr">
        <is>
          <t>Total capex</t>
        </is>
      </c>
      <c r="B62" s="10">
        <f>B60+B61</f>
        <v/>
      </c>
      <c r="C62" s="10">
        <f>C60+C61</f>
        <v/>
      </c>
      <c r="D62" s="10">
        <f>D60+D61</f>
        <v/>
      </c>
      <c r="F62" s="10">
        <f>F60+F61</f>
        <v/>
      </c>
      <c r="G62" s="18" t="inlineStr">
        <is>
          <t>Formula</t>
        </is>
      </c>
    </row>
    <row r="63">
      <c r="A63" s="5" t="inlineStr">
        <is>
          <t>Capex / revenue</t>
        </is>
      </c>
      <c r="B63" s="26">
        <f>B62/B12</f>
        <v/>
      </c>
      <c r="C63" s="26">
        <f>C62/C12</f>
        <v/>
      </c>
      <c r="D63" s="26">
        <f>D62/D12</f>
        <v/>
      </c>
      <c r="F63" s="26">
        <f>F62/F12</f>
        <v/>
      </c>
      <c r="G63" s="18" t="inlineStr">
        <is>
          <t>Formula</t>
        </is>
      </c>
    </row>
    <row r="64">
      <c r="A64" s="5" t="inlineStr">
        <is>
          <t>Dividends paid</t>
        </is>
      </c>
      <c r="B64" s="27" t="n">
        <v>7.226466</v>
      </c>
      <c r="C64" s="27" t="n">
        <v>7.9491126</v>
      </c>
      <c r="D64" s="27" t="n">
        <v>9.394405799999999</v>
      </c>
      <c r="F64" s="27" t="n">
        <v>10.839699</v>
      </c>
      <c r="G64" s="18" t="inlineStr">
        <is>
          <t>DART CFS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0" customWidth="1" min="8" max="8"/>
  </cols>
  <sheetData>
    <row r="1">
      <c r="A1" s="1" t="inlineStr">
        <is>
          <t>Three-statement model (KRW bn)</t>
        </is>
      </c>
    </row>
    <row r="2">
      <c r="A2" s="2" t="inlineStr">
        <is>
          <t>FY2025A from Historical. FY2026E onward driven by Inputs. Simplified balance sheet: other net assets and debt held flat.</t>
        </is>
      </c>
    </row>
    <row r="4">
      <c r="A4" s="3" t="inlineStr">
        <is>
          <t>KRW bn</t>
        </is>
      </c>
      <c r="B4" s="4" t="inlineStr">
        <is>
          <t>FY2025A</t>
        </is>
      </c>
      <c r="C4" s="4" t="inlineStr">
        <is>
          <t>FY2026E</t>
        </is>
      </c>
      <c r="D4" s="4" t="inlineStr">
        <is>
          <t>FY2027E</t>
        </is>
      </c>
      <c r="E4" s="4" t="inlineStr">
        <is>
          <t>FY2028E</t>
        </is>
      </c>
      <c r="F4" s="4" t="inlineStr">
        <is>
          <t>FY2029E</t>
        </is>
      </c>
      <c r="G4" s="4" t="inlineStr">
        <is>
          <t>FY2030E</t>
        </is>
      </c>
      <c r="H4" s="4" t="inlineStr">
        <is>
          <t>Note</t>
        </is>
      </c>
    </row>
    <row r="5">
      <c r="A5" s="15" t="inlineStr">
        <is>
          <t>Income statement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5" t="inlineStr">
        <is>
          <t>Revenue: North America</t>
        </is>
      </c>
      <c r="B6" s="29">
        <f>Historical!D7</f>
        <v/>
      </c>
      <c r="C6" s="10">
        <f>B6*(1+Inputs!C29)</f>
        <v/>
      </c>
      <c r="D6" s="10">
        <f>C6*(1+Inputs!D29)</f>
        <v/>
      </c>
      <c r="E6" s="10">
        <f>D6*(1+Inputs!E29)</f>
        <v/>
      </c>
      <c r="F6" s="10">
        <f>E6*(1+Inputs!F29)</f>
        <v/>
      </c>
      <c r="G6" s="10">
        <f>F6*(1+Inputs!G29)</f>
        <v/>
      </c>
    </row>
    <row r="7">
      <c r="A7" s="5" t="inlineStr">
        <is>
          <t>Revenue: Korea</t>
        </is>
      </c>
      <c r="B7" s="29">
        <f>Historical!D6</f>
        <v/>
      </c>
      <c r="C7" s="10">
        <f>B7*(1+Inputs!C30)</f>
        <v/>
      </c>
      <c r="D7" s="10">
        <f>C7*(1+Inputs!D30)</f>
        <v/>
      </c>
      <c r="E7" s="10">
        <f>D7*(1+Inputs!E30)</f>
        <v/>
      </c>
      <c r="F7" s="10">
        <f>E7*(1+Inputs!F30)</f>
        <v/>
      </c>
      <c r="G7" s="10">
        <f>F7*(1+Inputs!G30)</f>
        <v/>
      </c>
    </row>
    <row r="8">
      <c r="A8" s="5" t="inlineStr">
        <is>
          <t>Revenue: Russia</t>
        </is>
      </c>
      <c r="B8" s="29">
        <f>Historical!D8</f>
        <v/>
      </c>
      <c r="C8" s="10">
        <f>B8*(1+Inputs!C31)</f>
        <v/>
      </c>
      <c r="D8" s="10">
        <f>C8*(1+Inputs!D31)</f>
        <v/>
      </c>
      <c r="E8" s="10">
        <f>D8*(1+Inputs!E31)</f>
        <v/>
      </c>
      <c r="F8" s="10">
        <f>E8*(1+Inputs!F31)</f>
        <v/>
      </c>
      <c r="G8" s="10">
        <f>F8*(1+Inputs!G31)</f>
        <v/>
      </c>
    </row>
    <row r="9">
      <c r="A9" s="5" t="inlineStr">
        <is>
          <t>Revenue: China</t>
        </is>
      </c>
      <c r="B9" s="29">
        <f>Historical!D9</f>
        <v/>
      </c>
      <c r="C9" s="10">
        <f>B9*(1+Inputs!C32)</f>
        <v/>
      </c>
      <c r="D9" s="10">
        <f>C9*(1+Inputs!D32)</f>
        <v/>
      </c>
      <c r="E9" s="10">
        <f>D9*(1+Inputs!E32)</f>
        <v/>
      </c>
      <c r="F9" s="10">
        <f>E9*(1+Inputs!F32)</f>
        <v/>
      </c>
      <c r="G9" s="10">
        <f>F9*(1+Inputs!G32)</f>
        <v/>
      </c>
    </row>
    <row r="10">
      <c r="A10" s="5" t="inlineStr">
        <is>
          <t>Revenue: Other overseas</t>
        </is>
      </c>
      <c r="B10" s="29">
        <f>Historical!D10</f>
        <v/>
      </c>
      <c r="C10" s="10">
        <f>B10*(1+Inputs!C33)</f>
        <v/>
      </c>
      <c r="D10" s="10">
        <f>C10*(1+Inputs!D33)</f>
        <v/>
      </c>
      <c r="E10" s="10">
        <f>D10*(1+Inputs!E33)</f>
        <v/>
      </c>
      <c r="F10" s="10">
        <f>E10*(1+Inputs!F33)</f>
        <v/>
      </c>
      <c r="G10" s="10">
        <f>F10*(1+Inputs!G33)</f>
        <v/>
      </c>
    </row>
    <row r="11">
      <c r="A11" s="28" t="inlineStr">
        <is>
          <t>Total revenue</t>
        </is>
      </c>
      <c r="B11" s="10">
        <f>SUM(B6:B10)</f>
        <v/>
      </c>
      <c r="C11" s="10">
        <f>SUM(C6:C10)</f>
        <v/>
      </c>
      <c r="D11" s="10">
        <f>SUM(D6:D10)</f>
        <v/>
      </c>
      <c r="E11" s="10">
        <f>SUM(E6:E10)</f>
        <v/>
      </c>
      <c r="F11" s="10">
        <f>SUM(F6:F10)</f>
        <v/>
      </c>
      <c r="G11" s="10">
        <f>SUM(G6:G10)</f>
        <v/>
      </c>
    </row>
    <row r="12">
      <c r="A12" s="5" t="inlineStr">
        <is>
          <t>Revenue growth</t>
        </is>
      </c>
      <c r="C12" s="26">
        <f>C11/B11-1</f>
        <v/>
      </c>
      <c r="D12" s="26">
        <f>D11/C11-1</f>
        <v/>
      </c>
      <c r="E12" s="26">
        <f>E11/D11-1</f>
        <v/>
      </c>
      <c r="F12" s="26">
        <f>F11/E11-1</f>
        <v/>
      </c>
      <c r="G12" s="26">
        <f>G11/F11-1</f>
        <v/>
      </c>
    </row>
    <row r="13">
      <c r="A13" s="28" t="inlineStr">
        <is>
          <t>Operating profit</t>
        </is>
      </c>
      <c r="B13" s="29">
        <f>Historical!D17</f>
        <v/>
      </c>
      <c r="C13" s="10">
        <f>Historical!F17+(C11-Historical!F12)*Inputs!$B$20</f>
        <v/>
      </c>
      <c r="D13" s="10">
        <f>D11*Inputs!$B$21</f>
        <v/>
      </c>
      <c r="E13" s="10">
        <f>E11*Inputs!$B$21</f>
        <v/>
      </c>
      <c r="F13" s="10">
        <f>F11*Inputs!$B$21</f>
        <v/>
      </c>
      <c r="G13" s="10">
        <f>G11*Inputs!$B$21</f>
        <v/>
      </c>
      <c r="H13" s="18" t="inlineStr">
        <is>
          <t>FY26E = 1H26 actual + 2H26 revenue x 2H margin</t>
        </is>
      </c>
    </row>
    <row r="14">
      <c r="A14" s="5" t="inlineStr">
        <is>
          <t>Operating margin</t>
        </is>
      </c>
      <c r="B14" s="26">
        <f>B13/B11</f>
        <v/>
      </c>
      <c r="C14" s="26">
        <f>C13/C11</f>
        <v/>
      </c>
      <c r="D14" s="26">
        <f>D13/D11</f>
        <v/>
      </c>
      <c r="E14" s="26">
        <f>E13/E11</f>
        <v/>
      </c>
      <c r="F14" s="26">
        <f>F13/F11</f>
        <v/>
      </c>
      <c r="G14" s="26">
        <f>G13/G11</f>
        <v/>
      </c>
    </row>
    <row r="15">
      <c r="A15" s="5" t="inlineStr">
        <is>
          <t>D&amp;A</t>
        </is>
      </c>
      <c r="B15" s="29">
        <f>Historical!D18</f>
        <v/>
      </c>
      <c r="C15" s="10">
        <f>C11*Inputs!$B$22</f>
        <v/>
      </c>
      <c r="D15" s="10">
        <f>D11*Inputs!$B$22</f>
        <v/>
      </c>
      <c r="E15" s="10">
        <f>E11*Inputs!$B$22</f>
        <v/>
      </c>
      <c r="F15" s="10">
        <f>F11*Inputs!$B$22</f>
        <v/>
      </c>
      <c r="G15" s="10">
        <f>G11*Inputs!$B$22</f>
        <v/>
      </c>
    </row>
    <row r="16">
      <c r="A16" s="28" t="inlineStr">
        <is>
          <t>EBITDA</t>
        </is>
      </c>
      <c r="B16" s="10">
        <f>B13+B15</f>
        <v/>
      </c>
      <c r="C16" s="10">
        <f>C13+C15</f>
        <v/>
      </c>
      <c r="D16" s="10">
        <f>D13+D15</f>
        <v/>
      </c>
      <c r="E16" s="10">
        <f>E13+E15</f>
        <v/>
      </c>
      <c r="F16" s="10">
        <f>F13+F15</f>
        <v/>
      </c>
      <c r="G16" s="10">
        <f>G13+G15</f>
        <v/>
      </c>
    </row>
    <row r="17">
      <c r="A17" s="5" t="inlineStr">
        <is>
          <t>Net interest expense</t>
        </is>
      </c>
      <c r="B17" s="10">
        <f>Historical!D17-Historical!D20</f>
        <v/>
      </c>
      <c r="C17" s="10">
        <f>B31*Inputs!$B$16-B26*Inputs!$B$11</f>
        <v/>
      </c>
      <c r="D17" s="10">
        <f>C31*Inputs!$B$16-C26*Inputs!$B$11</f>
        <v/>
      </c>
      <c r="E17" s="10">
        <f>D31*Inputs!$B$16-D26*Inputs!$B$11</f>
        <v/>
      </c>
      <c r="F17" s="10">
        <f>E31*Inputs!$B$16-E26*Inputs!$B$11</f>
        <v/>
      </c>
      <c r="G17" s="10">
        <f>F31*Inputs!$B$16-F26*Inputs!$B$11</f>
        <v/>
      </c>
      <c r="H17" s="18" t="inlineStr">
        <is>
          <t>Opening debt x cost of debt - opening cash x risk-free. FY25A: OP - PBT (incl. other items)</t>
        </is>
      </c>
    </row>
    <row r="18">
      <c r="A18" s="5" t="inlineStr">
        <is>
          <t>Profit before tax</t>
        </is>
      </c>
      <c r="B18" s="29">
        <f>Historical!D20</f>
        <v/>
      </c>
      <c r="C18" s="10">
        <f>C13-C17</f>
        <v/>
      </c>
      <c r="D18" s="10">
        <f>D13-D17</f>
        <v/>
      </c>
      <c r="E18" s="10">
        <f>E13-E17</f>
        <v/>
      </c>
      <c r="F18" s="10">
        <f>F13-F17</f>
        <v/>
      </c>
      <c r="G18" s="10">
        <f>G13-G17</f>
        <v/>
      </c>
    </row>
    <row r="19">
      <c r="A19" s="5" t="inlineStr">
        <is>
          <t>Income tax</t>
        </is>
      </c>
      <c r="B19" s="29">
        <f>Historical!D21</f>
        <v/>
      </c>
      <c r="C19" s="10">
        <f>C18*Inputs!$B$19</f>
        <v/>
      </c>
      <c r="D19" s="10">
        <f>D18*Inputs!$B$19</f>
        <v/>
      </c>
      <c r="E19" s="10">
        <f>E18*Inputs!$B$19</f>
        <v/>
      </c>
      <c r="F19" s="10">
        <f>F18*Inputs!$B$19</f>
        <v/>
      </c>
      <c r="G19" s="10">
        <f>G18*Inputs!$B$19</f>
        <v/>
      </c>
    </row>
    <row r="20">
      <c r="A20" s="28" t="inlineStr">
        <is>
          <t>Net income</t>
        </is>
      </c>
      <c r="B20" s="29">
        <f>Historical!D22</f>
        <v/>
      </c>
      <c r="C20" s="10">
        <f>C18-C19</f>
        <v/>
      </c>
      <c r="D20" s="10">
        <f>D18-D19</f>
        <v/>
      </c>
      <c r="E20" s="10">
        <f>E18-E19</f>
        <v/>
      </c>
      <c r="F20" s="10">
        <f>F18-F19</f>
        <v/>
      </c>
      <c r="G20" s="10">
        <f>G18-G19</f>
        <v/>
      </c>
      <c r="H20" s="18" t="inlineStr">
        <is>
          <t>Minority share of Commax ignored (NCI 1% of equity)</t>
        </is>
      </c>
    </row>
    <row r="21">
      <c r="A21" s="5" t="inlineStr">
        <is>
          <t>EPS (KRW)</t>
        </is>
      </c>
      <c r="B21" s="19">
        <f>B20*1000000000/Inputs!$B$9</f>
        <v/>
      </c>
      <c r="C21" s="19">
        <f>C20*1000000000/Inputs!$B$9</f>
        <v/>
      </c>
      <c r="D21" s="19">
        <f>D20*1000000000/Inputs!$B$9</f>
        <v/>
      </c>
      <c r="E21" s="19">
        <f>E20*1000000000/Inputs!$B$9</f>
        <v/>
      </c>
      <c r="F21" s="19">
        <f>F20*1000000000/Inputs!$B$9</f>
        <v/>
      </c>
      <c r="G21" s="19">
        <f>G20*1000000000/Inputs!$B$9</f>
        <v/>
      </c>
    </row>
    <row r="22">
      <c r="A22" s="5" t="inlineStr">
        <is>
          <t>DPS (KRW)</t>
        </is>
      </c>
      <c r="B22" s="6">
        <f>Inputs!$B$24</f>
        <v/>
      </c>
      <c r="C22" s="6">
        <f>Inputs!$B$24</f>
        <v/>
      </c>
      <c r="D22" s="6">
        <f>Inputs!$B$24</f>
        <v/>
      </c>
      <c r="E22" s="6">
        <f>Inputs!$B$24</f>
        <v/>
      </c>
      <c r="F22" s="6">
        <f>Inputs!$B$24</f>
        <v/>
      </c>
      <c r="G22" s="6">
        <f>Inputs!$B$24</f>
        <v/>
      </c>
    </row>
    <row r="23">
      <c r="A23" s="5" t="inlineStr">
        <is>
          <t>Dividends</t>
        </is>
      </c>
      <c r="C23" s="10">
        <f>C22*Inputs!$B$9/1000000000</f>
        <v/>
      </c>
      <c r="D23" s="10">
        <f>D22*Inputs!$B$9/1000000000</f>
        <v/>
      </c>
      <c r="E23" s="10">
        <f>E22*Inputs!$B$9/1000000000</f>
        <v/>
      </c>
      <c r="F23" s="10">
        <f>F22*Inputs!$B$9/1000000000</f>
        <v/>
      </c>
      <c r="G23" s="10">
        <f>G22*Inputs!$B$9/1000000000</f>
        <v/>
      </c>
    </row>
    <row r="24">
      <c r="A24" s="5" t="inlineStr">
        <is>
          <t>ROE (on opening equity)</t>
        </is>
      </c>
      <c r="C24" s="26">
        <f>C20/B32</f>
        <v/>
      </c>
      <c r="D24" s="26">
        <f>D20/C32</f>
        <v/>
      </c>
      <c r="E24" s="26">
        <f>E20/D32</f>
        <v/>
      </c>
      <c r="F24" s="26">
        <f>F20/E32</f>
        <v/>
      </c>
      <c r="G24" s="26">
        <f>G20/F32</f>
        <v/>
      </c>
    </row>
    <row r="25">
      <c r="A25" s="15" t="inlineStr">
        <is>
          <t>Balance sheet (year end, simplified)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5" t="inlineStr">
        <is>
          <t>Cash and deposits</t>
        </is>
      </c>
      <c r="B26" s="29">
        <f>Historical!D52</f>
        <v/>
      </c>
      <c r="C26" s="10">
        <f>B26+C43</f>
        <v/>
      </c>
      <c r="D26" s="10">
        <f>C26+D43</f>
        <v/>
      </c>
      <c r="E26" s="10">
        <f>D26+E43</f>
        <v/>
      </c>
      <c r="F26" s="10">
        <f>E26+F43</f>
        <v/>
      </c>
      <c r="G26" s="10">
        <f>F26+G43</f>
        <v/>
      </c>
      <c r="H26" s="18" t="inlineStr">
        <is>
          <t>Plug from cash flow</t>
        </is>
      </c>
    </row>
    <row r="27">
      <c r="A27" s="5" t="inlineStr">
        <is>
          <t>Net working capital</t>
        </is>
      </c>
      <c r="B27" s="29">
        <f>Historical!D53</f>
        <v/>
      </c>
      <c r="C27" s="10">
        <f>C11*Inputs!$B$23</f>
        <v/>
      </c>
      <c r="D27" s="10">
        <f>D11*Inputs!$B$23</f>
        <v/>
      </c>
      <c r="E27" s="10">
        <f>E11*Inputs!$B$23</f>
        <v/>
      </c>
      <c r="F27" s="10">
        <f>F11*Inputs!$B$23</f>
        <v/>
      </c>
      <c r="G27" s="10">
        <f>G11*Inputs!$B$23</f>
        <v/>
      </c>
    </row>
    <row r="28">
      <c r="A28" s="5" t="inlineStr">
        <is>
          <t>Net fixed assets</t>
        </is>
      </c>
      <c r="B28" s="29">
        <f>Historical!D57</f>
        <v/>
      </c>
      <c r="C28" s="10">
        <f>B28+C39-C15</f>
        <v/>
      </c>
      <c r="D28" s="10">
        <f>C28+D39-D15</f>
        <v/>
      </c>
      <c r="E28" s="10">
        <f>D28+E39-E15</f>
        <v/>
      </c>
      <c r="F28" s="10">
        <f>E28+F39-F15</f>
        <v/>
      </c>
      <c r="G28" s="10">
        <f>F28+G39-G15</f>
        <v/>
      </c>
    </row>
    <row r="29">
      <c r="A29" s="5" t="inlineStr">
        <is>
          <t>Other net assets</t>
        </is>
      </c>
      <c r="B29" s="10">
        <f>B31+B32-B26-B27-B28</f>
        <v/>
      </c>
      <c r="C29" s="10">
        <f>B29+C40</f>
        <v/>
      </c>
      <c r="D29" s="10">
        <f>C29+D40</f>
        <v/>
      </c>
      <c r="E29" s="10">
        <f>D29+E40</f>
        <v/>
      </c>
      <c r="F29" s="10">
        <f>E29+F40</f>
        <v/>
      </c>
      <c r="G29" s="10">
        <f>F29+G40</f>
        <v/>
      </c>
      <c r="H29" s="18" t="inlineStr">
        <is>
          <t>FY25A balancing item from reported totals. Grows only by acquisitions</t>
        </is>
      </c>
    </row>
    <row r="30">
      <c r="A30" s="28" t="inlineStr">
        <is>
          <t>Total net assets</t>
        </is>
      </c>
      <c r="B30" s="10">
        <f>SUM(B26:B29)</f>
        <v/>
      </c>
      <c r="C30" s="10">
        <f>SUM(C26:C29)</f>
        <v/>
      </c>
      <c r="D30" s="10">
        <f>SUM(D26:D29)</f>
        <v/>
      </c>
      <c r="E30" s="10">
        <f>SUM(E26:E29)</f>
        <v/>
      </c>
      <c r="F30" s="10">
        <f>SUM(F26:F29)</f>
        <v/>
      </c>
      <c r="G30" s="10">
        <f>SUM(G26:G29)</f>
        <v/>
      </c>
    </row>
    <row r="31">
      <c r="A31" s="5" t="inlineStr">
        <is>
          <t>Gross debt</t>
        </is>
      </c>
      <c r="B31" s="29">
        <f>Historical!D55</f>
        <v/>
      </c>
      <c r="C31" s="10">
        <f>B31+C42</f>
        <v/>
      </c>
      <c r="D31" s="10">
        <f>C31+D42</f>
        <v/>
      </c>
      <c r="E31" s="10">
        <f>D31+E42</f>
        <v/>
      </c>
      <c r="F31" s="10">
        <f>E31+F42</f>
        <v/>
      </c>
      <c r="G31" s="10">
        <f>F31+G42</f>
        <v/>
      </c>
    </row>
    <row r="32">
      <c r="A32" s="5" t="inlineStr">
        <is>
          <t>Total equity</t>
        </is>
      </c>
      <c r="B32" s="29">
        <f>Historical!D50</f>
        <v/>
      </c>
      <c r="C32" s="10">
        <f>B32+C20-C23</f>
        <v/>
      </c>
      <c r="D32" s="10">
        <f>C32+D20-D23</f>
        <v/>
      </c>
      <c r="E32" s="10">
        <f>D32+E20-E23</f>
        <v/>
      </c>
      <c r="F32" s="10">
        <f>E32+F20-F23</f>
        <v/>
      </c>
      <c r="G32" s="10">
        <f>F32+G20-G23</f>
        <v/>
      </c>
    </row>
    <row r="33">
      <c r="A33" s="5" t="inlineStr">
        <is>
          <t>Check: net assets - debt - equity (must be 0)</t>
        </is>
      </c>
      <c r="B33" s="10">
        <f>B30-B31-B32</f>
        <v/>
      </c>
      <c r="C33" s="10">
        <f>C30-C31-C32</f>
        <v/>
      </c>
      <c r="D33" s="10">
        <f>D30-D31-D32</f>
        <v/>
      </c>
      <c r="E33" s="10">
        <f>E30-E31-E32</f>
        <v/>
      </c>
      <c r="F33" s="10">
        <f>F30-F31-F32</f>
        <v/>
      </c>
      <c r="G33" s="10">
        <f>G30-G31-G32</f>
        <v/>
      </c>
    </row>
    <row r="34">
      <c r="A34" s="15" t="inlineStr">
        <is>
          <t>Cash flow statement</t>
        </is>
      </c>
      <c r="B34" s="16" t="n"/>
      <c r="C34" s="16" t="n"/>
      <c r="D34" s="16" t="n"/>
      <c r="E34" s="16" t="n"/>
      <c r="F34" s="16" t="n"/>
      <c r="G34" s="16" t="n"/>
      <c r="H34" s="16" t="n"/>
    </row>
    <row r="35">
      <c r="A35" s="5" t="inlineStr">
        <is>
          <t>Net income</t>
        </is>
      </c>
      <c r="C35" s="10">
        <f>C20</f>
        <v/>
      </c>
      <c r="D35" s="10">
        <f>D20</f>
        <v/>
      </c>
      <c r="E35" s="10">
        <f>E20</f>
        <v/>
      </c>
      <c r="F35" s="10">
        <f>F20</f>
        <v/>
      </c>
      <c r="G35" s="10">
        <f>G20</f>
        <v/>
      </c>
    </row>
    <row r="36">
      <c r="A36" s="5" t="inlineStr">
        <is>
          <t>Add: D&amp;A</t>
        </is>
      </c>
      <c r="C36" s="10">
        <f>C15</f>
        <v/>
      </c>
      <c r="D36" s="10">
        <f>D15</f>
        <v/>
      </c>
      <c r="E36" s="10">
        <f>E15</f>
        <v/>
      </c>
      <c r="F36" s="10">
        <f>F15</f>
        <v/>
      </c>
      <c r="G36" s="10">
        <f>G15</f>
        <v/>
      </c>
    </row>
    <row r="37">
      <c r="A37" s="5" t="inlineStr">
        <is>
          <t>Less: increase in net working capital</t>
        </is>
      </c>
      <c r="C37" s="10">
        <f>-(C27-B27)</f>
        <v/>
      </c>
      <c r="D37" s="10">
        <f>-(D27-C27)</f>
        <v/>
      </c>
      <c r="E37" s="10">
        <f>-(E27-D27)</f>
        <v/>
      </c>
      <c r="F37" s="10">
        <f>-(F27-E27)</f>
        <v/>
      </c>
      <c r="G37" s="10">
        <f>-(G27-F27)</f>
        <v/>
      </c>
    </row>
    <row r="38">
      <c r="A38" s="28" t="inlineStr">
        <is>
          <t>Cash flow from operations</t>
        </is>
      </c>
      <c r="C38" s="10">
        <f>C35+C36+C37</f>
        <v/>
      </c>
      <c r="D38" s="10">
        <f>D35+D36+D37</f>
        <v/>
      </c>
      <c r="E38" s="10">
        <f>E35+E36+E37</f>
        <v/>
      </c>
      <c r="F38" s="10">
        <f>F35+F36+F37</f>
        <v/>
      </c>
      <c r="G38" s="10">
        <f>G35+G36+G37</f>
        <v/>
      </c>
    </row>
    <row r="39">
      <c r="A39" s="5" t="inlineStr">
        <is>
          <t>Capex</t>
        </is>
      </c>
      <c r="B39" s="29">
        <f>Historical!D62</f>
        <v/>
      </c>
      <c r="C39" s="10">
        <f>C11*Inputs!C34</f>
        <v/>
      </c>
      <c r="D39" s="10">
        <f>D11*Inputs!D34</f>
        <v/>
      </c>
      <c r="E39" s="10">
        <f>E11*Inputs!E34</f>
        <v/>
      </c>
      <c r="F39" s="10">
        <f>F11*Inputs!F34</f>
        <v/>
      </c>
      <c r="G39" s="10">
        <f>G11*Inputs!G34</f>
        <v/>
      </c>
    </row>
    <row r="40">
      <c r="A40" s="5" t="inlineStr">
        <is>
          <t>Acquisitions</t>
        </is>
      </c>
      <c r="C40" s="29">
        <f>Inputs!$B$25</f>
        <v/>
      </c>
      <c r="D40" s="10">
        <f>0</f>
        <v/>
      </c>
      <c r="E40" s="10">
        <f>0</f>
        <v/>
      </c>
      <c r="F40" s="10">
        <f>0</f>
        <v/>
      </c>
      <c r="G40" s="10">
        <f>0</f>
        <v/>
      </c>
    </row>
    <row r="41">
      <c r="A41" s="5" t="inlineStr">
        <is>
          <t>Dividends paid</t>
        </is>
      </c>
      <c r="C41" s="10">
        <f>C23</f>
        <v/>
      </c>
      <c r="D41" s="10">
        <f>D23</f>
        <v/>
      </c>
      <c r="E41" s="10">
        <f>E23</f>
        <v/>
      </c>
      <c r="F41" s="10">
        <f>F23</f>
        <v/>
      </c>
      <c r="G41" s="10">
        <f>G23</f>
        <v/>
      </c>
    </row>
    <row r="42">
      <c r="A42" s="5" t="inlineStr">
        <is>
          <t>Net borrowing</t>
        </is>
      </c>
      <c r="C42" s="10">
        <f>0</f>
        <v/>
      </c>
      <c r="D42" s="10">
        <f>0</f>
        <v/>
      </c>
      <c r="E42" s="10">
        <f>0</f>
        <v/>
      </c>
      <c r="F42" s="10">
        <f>0</f>
        <v/>
      </c>
      <c r="G42" s="10">
        <f>0</f>
        <v/>
      </c>
      <c r="H42" s="18" t="inlineStr">
        <is>
          <t>Debt held flat</t>
        </is>
      </c>
    </row>
    <row r="43">
      <c r="A43" s="28" t="inlineStr">
        <is>
          <t>Net change in cash</t>
        </is>
      </c>
      <c r="C43" s="10">
        <f>C38-C39-C40-C41+C42</f>
        <v/>
      </c>
      <c r="D43" s="10">
        <f>D38-D39-D40-D41+D42</f>
        <v/>
      </c>
      <c r="E43" s="10">
        <f>E38-E39-E40-E41+E42</f>
        <v/>
      </c>
      <c r="F43" s="10">
        <f>F38-F39-F40-F41+F42</f>
        <v/>
      </c>
      <c r="G43" s="10">
        <f>G38-G39-G40-G41+G42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DCF valuation (FCFF, KRW bn)</t>
        </is>
      </c>
    </row>
    <row r="2">
      <c r="A2" s="2" t="inlineStr">
        <is>
          <t>Valuation date 30 Jun 2026 (latest balance sheet). Cash flows from 2H2026. Mid-period discounting.</t>
        </is>
      </c>
    </row>
    <row r="4">
      <c r="A4" s="3" t="inlineStr">
        <is>
          <t>Cost of capital</t>
        </is>
      </c>
      <c r="B4" s="4" t="inlineStr">
        <is>
          <t>Value</t>
        </is>
      </c>
      <c r="C4" s="4" t="inlineStr"/>
      <c r="D4" s="4" t="inlineStr"/>
      <c r="E4" s="4" t="inlineStr"/>
      <c r="F4" s="4" t="inlineStr"/>
      <c r="G4" s="4" t="inlineStr">
        <is>
          <t>Note</t>
        </is>
      </c>
    </row>
    <row r="5">
      <c r="A5" s="5" t="inlineStr">
        <is>
          <t>Market cap</t>
        </is>
      </c>
      <c r="B5" s="10">
        <f>Inputs!$B$6*Inputs!$B$9/1000000000</f>
        <v/>
      </c>
      <c r="G5" s="18" t="inlineStr">
        <is>
          <t>Price x shares outstanding</t>
        </is>
      </c>
    </row>
    <row r="6">
      <c r="A6" s="5" t="inlineStr">
        <is>
          <t>Gross debt, 30 Jun 2026</t>
        </is>
      </c>
      <c r="B6" s="29">
        <f>Historical!F55</f>
        <v/>
      </c>
    </row>
    <row r="7">
      <c r="A7" s="5" t="inlineStr">
        <is>
          <t>Debt / equity</t>
        </is>
      </c>
      <c r="B7" s="30">
        <f>B6/B5</f>
        <v/>
      </c>
    </row>
    <row r="8">
      <c r="A8" s="5" t="inlineStr">
        <is>
          <t>Levered beta</t>
        </is>
      </c>
      <c r="B8" s="30">
        <f>Inputs!$B$13*(1+(1-Inputs!$B$14)*B7)</f>
        <v/>
      </c>
      <c r="G8" s="18" t="inlineStr">
        <is>
          <t>Unlevered beta x (1 + (1 - t) x D/E)</t>
        </is>
      </c>
    </row>
    <row r="9">
      <c r="A9" s="5" t="inlineStr">
        <is>
          <t>Cost of equity</t>
        </is>
      </c>
      <c r="B9" s="24">
        <f>Inputs!$B$11+B8*Inputs!$B$12</f>
        <v/>
      </c>
      <c r="G9" s="18" t="inlineStr">
        <is>
          <t>CAPM</t>
        </is>
      </c>
    </row>
    <row r="10">
      <c r="A10" s="5" t="inlineStr">
        <is>
          <t>After-tax cost of debt</t>
        </is>
      </c>
      <c r="B10" s="24">
        <f>Inputs!$B$16*(1-Inputs!$B$14)</f>
        <v/>
      </c>
    </row>
    <row r="11">
      <c r="A11" s="5" t="inlineStr">
        <is>
          <t>Equity weight</t>
        </is>
      </c>
      <c r="B11" s="26">
        <f>B5/(B5+B6)</f>
        <v/>
      </c>
    </row>
    <row r="12">
      <c r="A12" s="28" t="inlineStr">
        <is>
          <t>WACC</t>
        </is>
      </c>
      <c r="B12" s="31">
        <f>B11*B9+(1-B11)*B10</f>
        <v/>
      </c>
    </row>
    <row r="14">
      <c r="A14" s="3" t="inlineStr">
        <is>
          <t>Free cash flow to firm</t>
        </is>
      </c>
      <c r="B14" s="4" t="inlineStr">
        <is>
          <t>2H2026E</t>
        </is>
      </c>
      <c r="C14" s="4" t="inlineStr">
        <is>
          <t>FY2027E</t>
        </is>
      </c>
      <c r="D14" s="4" t="inlineStr">
        <is>
          <t>FY2028E</t>
        </is>
      </c>
      <c r="E14" s="4" t="inlineStr">
        <is>
          <t>FY2029E</t>
        </is>
      </c>
      <c r="F14" s="4" t="inlineStr">
        <is>
          <t>FY2030E</t>
        </is>
      </c>
      <c r="G14" s="4" t="inlineStr">
        <is>
          <t>Note</t>
        </is>
      </c>
    </row>
    <row r="15">
      <c r="A15" s="5" t="inlineStr">
        <is>
          <t>Revenue</t>
        </is>
      </c>
      <c r="B15" s="10">
        <f>Model!C11-Historical!F12</f>
        <v/>
      </c>
      <c r="C15" s="29">
        <f>Model!D11</f>
        <v/>
      </c>
      <c r="D15" s="29">
        <f>Model!E11</f>
        <v/>
      </c>
      <c r="E15" s="29">
        <f>Model!F11</f>
        <v/>
      </c>
      <c r="F15" s="29">
        <f>Model!G11</f>
        <v/>
      </c>
      <c r="G15" s="18" t="inlineStr">
        <is>
          <t>2H26 = FY26E - 1H26 actual</t>
        </is>
      </c>
    </row>
    <row r="16">
      <c r="A16" s="5" t="inlineStr">
        <is>
          <t>EBIT (operating profit)</t>
        </is>
      </c>
      <c r="B16" s="10">
        <f>Model!C13-Historical!F17</f>
        <v/>
      </c>
      <c r="C16" s="29">
        <f>Model!D13</f>
        <v/>
      </c>
      <c r="D16" s="29">
        <f>Model!E13</f>
        <v/>
      </c>
      <c r="E16" s="29">
        <f>Model!F13</f>
        <v/>
      </c>
      <c r="F16" s="29">
        <f>Model!G13</f>
        <v/>
      </c>
    </row>
    <row r="17">
      <c r="A17" s="5" t="inlineStr">
        <is>
          <t>Less: tax on EBIT</t>
        </is>
      </c>
      <c r="B17" s="10">
        <f>-B16*Inputs!$B$19</f>
        <v/>
      </c>
      <c r="C17" s="10">
        <f>-C16*Inputs!$B$19</f>
        <v/>
      </c>
      <c r="D17" s="10">
        <f>-D16*Inputs!$B$19</f>
        <v/>
      </c>
      <c r="E17" s="10">
        <f>-E16*Inputs!$B$19</f>
        <v/>
      </c>
      <c r="F17" s="10">
        <f>-F16*Inputs!$B$19</f>
        <v/>
      </c>
    </row>
    <row r="18">
      <c r="A18" s="28" t="inlineStr">
        <is>
          <t>NOPAT</t>
        </is>
      </c>
      <c r="B18" s="10">
        <f>B16+B17</f>
        <v/>
      </c>
      <c r="C18" s="10">
        <f>C16+C17</f>
        <v/>
      </c>
      <c r="D18" s="10">
        <f>D16+D17</f>
        <v/>
      </c>
      <c r="E18" s="10">
        <f>E16+E17</f>
        <v/>
      </c>
      <c r="F18" s="10">
        <f>F16+F17</f>
        <v/>
      </c>
    </row>
    <row r="19">
      <c r="A19" s="5" t="inlineStr">
        <is>
          <t>Add: D&amp;A</t>
        </is>
      </c>
      <c r="B19" s="10">
        <f>Model!C15-Historical!F18</f>
        <v/>
      </c>
      <c r="C19" s="29">
        <f>Model!D15</f>
        <v/>
      </c>
      <c r="D19" s="29">
        <f>Model!E15</f>
        <v/>
      </c>
      <c r="E19" s="29">
        <f>Model!F15</f>
        <v/>
      </c>
      <c r="F19" s="29">
        <f>Model!G15</f>
        <v/>
      </c>
    </row>
    <row r="20">
      <c r="A20" s="5" t="inlineStr">
        <is>
          <t>Less: capex</t>
        </is>
      </c>
      <c r="B20" s="10">
        <f>-(Model!C39-Historical!F62)</f>
        <v/>
      </c>
      <c r="C20" s="10">
        <f>-Model!D39</f>
        <v/>
      </c>
      <c r="D20" s="10">
        <f>-Model!E39</f>
        <v/>
      </c>
      <c r="E20" s="10">
        <f>-Model!F39</f>
        <v/>
      </c>
      <c r="F20" s="10">
        <f>-Model!G39</f>
        <v/>
      </c>
    </row>
    <row r="21">
      <c r="A21" s="5" t="inlineStr">
        <is>
          <t>Less: increase in net working capital</t>
        </is>
      </c>
      <c r="B21" s="10">
        <f>-(Model!C27-Historical!F53)</f>
        <v/>
      </c>
      <c r="C21" s="10">
        <f>-(Model!D27-Model!C27)</f>
        <v/>
      </c>
      <c r="D21" s="10">
        <f>-(Model!E27-Model!D27)</f>
        <v/>
      </c>
      <c r="E21" s="10">
        <f>-(Model!F27-Model!E27)</f>
        <v/>
      </c>
      <c r="F21" s="10">
        <f>-(Model!G27-Model!F27)</f>
        <v/>
      </c>
      <c r="G21" s="18" t="inlineStr">
        <is>
          <t>2H26 vs 30 Jun 2026 actual NWC</t>
        </is>
      </c>
    </row>
    <row r="22">
      <c r="A22" s="28" t="inlineStr">
        <is>
          <t>Free cash flow to firm</t>
        </is>
      </c>
      <c r="B22" s="10">
        <f>B18+B19+B20+B21</f>
        <v/>
      </c>
      <c r="C22" s="10">
        <f>C18+C19+C20+C21</f>
        <v/>
      </c>
      <c r="D22" s="10">
        <f>D18+D19+D20+D21</f>
        <v/>
      </c>
      <c r="E22" s="10">
        <f>E18+E19+E20+E21</f>
        <v/>
      </c>
      <c r="F22" s="10">
        <f>F18+F19+F20+F21</f>
        <v/>
      </c>
    </row>
    <row r="23">
      <c r="A23" s="5" t="inlineStr">
        <is>
          <t>Discount period, mid-point (years from 30 Jun 2026)</t>
        </is>
      </c>
      <c r="B23" s="32" t="n">
        <v>0.25</v>
      </c>
      <c r="C23" s="32" t="n">
        <v>1</v>
      </c>
      <c r="D23" s="32" t="n">
        <v>2</v>
      </c>
      <c r="E23" s="32" t="n">
        <v>3</v>
      </c>
      <c r="F23" s="32" t="n">
        <v>4</v>
      </c>
      <c r="G23" s="18" t="inlineStr">
        <is>
          <t>2H26 mid-point 0.25y, then full years centred at 1.0, 2.0, 3.0, 4.0</t>
        </is>
      </c>
    </row>
    <row r="24">
      <c r="A24" s="5" t="inlineStr">
        <is>
          <t>Discount factor</t>
        </is>
      </c>
      <c r="B24" s="30">
        <f>1/(1+$B$12)^B23</f>
        <v/>
      </c>
      <c r="C24" s="30">
        <f>1/(1+$B$12)^C23</f>
        <v/>
      </c>
      <c r="D24" s="30">
        <f>1/(1+$B$12)^D23</f>
        <v/>
      </c>
      <c r="E24" s="30">
        <f>1/(1+$B$12)^E23</f>
        <v/>
      </c>
      <c r="F24" s="30">
        <f>1/(1+$B$12)^F23</f>
        <v/>
      </c>
    </row>
    <row r="25">
      <c r="A25" s="5" t="inlineStr">
        <is>
          <t>PV of FCFF</t>
        </is>
      </c>
      <c r="B25" s="10">
        <f>B22*B24</f>
        <v/>
      </c>
      <c r="C25" s="10">
        <f>C22*C24</f>
        <v/>
      </c>
      <c r="D25" s="10">
        <f>D22*D24</f>
        <v/>
      </c>
      <c r="E25" s="10">
        <f>E22*E24</f>
        <v/>
      </c>
      <c r="F25" s="10">
        <f>F22*F24</f>
        <v/>
      </c>
    </row>
    <row r="26">
      <c r="A26" s="5" t="inlineStr">
        <is>
          <t>Memo: revenue at long-term margin (for sensitivity)</t>
        </is>
      </c>
      <c r="B26" s="10">
        <f>0</f>
        <v/>
      </c>
      <c r="C26" s="10">
        <f>C15</f>
        <v/>
      </c>
      <c r="D26" s="10">
        <f>D15</f>
        <v/>
      </c>
      <c r="E26" s="10">
        <f>E15</f>
        <v/>
      </c>
      <c r="F26" s="10">
        <f>F15</f>
        <v/>
      </c>
    </row>
    <row r="28">
      <c r="A28" s="3" t="inlineStr">
        <is>
          <t>Valuation</t>
        </is>
      </c>
      <c r="B28" s="4" t="inlineStr">
        <is>
          <t>Value</t>
        </is>
      </c>
      <c r="C28" s="4" t="inlineStr"/>
      <c r="D28" s="4" t="inlineStr"/>
      <c r="E28" s="4" t="inlineStr"/>
      <c r="F28" s="4" t="inlineStr"/>
      <c r="G28" s="4" t="inlineStr">
        <is>
          <t>Note</t>
        </is>
      </c>
    </row>
    <row r="29">
      <c r="A29" s="5" t="inlineStr">
        <is>
          <t>Sum of PV of FCFF</t>
        </is>
      </c>
      <c r="B29" s="10">
        <f>SUM(B25:F25)</f>
        <v/>
      </c>
    </row>
    <row r="30">
      <c r="A30" s="5" t="inlineStr">
        <is>
          <t>Terminal value at end FY2030</t>
        </is>
      </c>
      <c r="B30" s="10">
        <f>F22*(1+Inputs!$B$17)/(B12-Inputs!$B$17)</f>
        <v/>
      </c>
      <c r="G30" s="18" t="inlineStr">
        <is>
          <t>FCFF FY2030 x (1 + g) / (WACC - g)</t>
        </is>
      </c>
    </row>
    <row r="31">
      <c r="A31" s="5" t="inlineStr">
        <is>
          <t>Terminal discount period (years)</t>
        </is>
      </c>
      <c r="B31" s="32" t="n">
        <v>4.5</v>
      </c>
      <c r="G31" s="18" t="inlineStr">
        <is>
          <t>End of FY2030 = 4.5 years after 30 Jun 2026</t>
        </is>
      </c>
    </row>
    <row r="32">
      <c r="A32" s="5" t="inlineStr">
        <is>
          <t>PV of terminal value</t>
        </is>
      </c>
      <c r="B32" s="10">
        <f>B30/(1+B12)^B31</f>
        <v/>
      </c>
    </row>
    <row r="33">
      <c r="A33" s="28" t="inlineStr">
        <is>
          <t>Enterprise value</t>
        </is>
      </c>
      <c r="B33" s="10">
        <f>B29+B32</f>
        <v/>
      </c>
    </row>
    <row r="34">
      <c r="A34" s="5" t="inlineStr">
        <is>
          <t>Terminal value as % of EV</t>
        </is>
      </c>
      <c r="B34" s="26">
        <f>B32/B33</f>
        <v/>
      </c>
    </row>
    <row r="35">
      <c r="A35" s="5" t="inlineStr">
        <is>
          <t>Less: net debt, 30 Jun 2026</t>
        </is>
      </c>
      <c r="B35" s="29">
        <f>Historical!F56</f>
        <v/>
      </c>
    </row>
    <row r="36">
      <c r="A36" s="5" t="inlineStr">
        <is>
          <t>Less: non-controlling interests, 30 Jun 2026</t>
        </is>
      </c>
      <c r="B36" s="29">
        <f>Historical!F49</f>
        <v/>
      </c>
    </row>
    <row r="37">
      <c r="A37" s="28" t="inlineStr">
        <is>
          <t>Equity value</t>
        </is>
      </c>
      <c r="B37" s="10">
        <f>B33-B35-B36</f>
        <v/>
      </c>
    </row>
    <row r="38">
      <c r="A38" s="28" t="inlineStr">
        <is>
          <t>Equity value per share (KRW)</t>
        </is>
      </c>
      <c r="B38" s="33">
        <f>B37*1000000000/Inputs!$B$9</f>
        <v/>
      </c>
    </row>
    <row r="39">
      <c r="A39" s="5" t="inlineStr">
        <is>
          <t>Current price (KRW)</t>
        </is>
      </c>
      <c r="B39" s="6">
        <f>Inputs!$B$6</f>
        <v/>
      </c>
    </row>
    <row r="40">
      <c r="A40" s="28" t="inlineStr">
        <is>
          <t>Upside / (downside)</t>
        </is>
      </c>
      <c r="B40" s="26">
        <f>B38/B39-1</f>
        <v/>
      </c>
    </row>
    <row r="41">
      <c r="A41" s="28" t="inlineStr">
        <is>
          <t>Rating</t>
        </is>
      </c>
      <c r="B41" s="34">
        <f>IF(B40&gt;Inputs!$B$26,"Overweight",IF(B40&lt;-Inputs!$B$26,"Underweight","Neutral"))</f>
        <v/>
      </c>
    </row>
    <row r="42">
      <c r="A42" s="5" t="inlineStr">
        <is>
          <t>Implied EV / EBITDA FY2026E</t>
        </is>
      </c>
      <c r="B42" s="35">
        <f>B33/Model!C16</f>
        <v/>
      </c>
    </row>
    <row r="43">
      <c r="A43" s="5" t="inlineStr">
        <is>
          <t>Implied EV / EBITDA FY2027E</t>
        </is>
      </c>
      <c r="B43" s="35">
        <f>B33/Model!D16</f>
        <v/>
      </c>
    </row>
    <row r="44">
      <c r="A44" s="5" t="inlineStr">
        <is>
          <t>Implied P/E FY2027E</t>
        </is>
      </c>
      <c r="B44" s="35">
        <f>B37/Model!D20</f>
        <v/>
      </c>
    </row>
    <row r="45">
      <c r="A45" s="5" t="inlineStr">
        <is>
          <t>Implied terminal EV / EBITDA (FY2030)</t>
        </is>
      </c>
      <c r="B45" s="35">
        <f>B30/Model!G16</f>
        <v/>
      </c>
      <c r="G45" s="18" t="inlineStr">
        <is>
          <t>Sanity check on the Gordon growth terminal value</t>
        </is>
      </c>
    </row>
    <row r="47">
      <c r="A47" s="28" t="inlineStr">
        <is>
          <t>Sensitivity: value per share (KRW), WACC (rows) x terminal growth (columns)</t>
        </is>
      </c>
    </row>
    <row r="48">
      <c r="B48" s="22" t="n">
        <v>0.01</v>
      </c>
      <c r="C48" s="22" t="n">
        <v>0.015</v>
      </c>
      <c r="D48" s="22" t="n">
        <v>0.02</v>
      </c>
      <c r="E48" s="22" t="n">
        <v>0.025</v>
      </c>
      <c r="F48" s="22" t="n">
        <v>0.03</v>
      </c>
      <c r="G48" s="18" t="inlineStr">
        <is>
          <t>Base case WACC and g sit near the centre. Rows are WACC.</t>
        </is>
      </c>
    </row>
    <row r="49">
      <c r="A49" s="23" t="n">
        <v>0.06900000000000001</v>
      </c>
      <c r="B49" s="19">
        <f>(SUMPRODUCT($B$22:$F$22/(1+$A49)^$B$23:$F$23)+$F$22*(1+B$48)/($A49-B$48)/(1+$A49)^$B$31-$B$35-$B$36)*1000000000/Inputs!$B$9</f>
        <v/>
      </c>
      <c r="C49" s="19">
        <f>(SUMPRODUCT($B$22:$F$22/(1+$A49)^$B$23:$F$23)+$F$22*(1+C$48)/($A49-C$48)/(1+$A49)^$B$31-$B$35-$B$36)*1000000000/Inputs!$B$9</f>
        <v/>
      </c>
      <c r="D49" s="19">
        <f>(SUMPRODUCT($B$22:$F$22/(1+$A49)^$B$23:$F$23)+$F$22*(1+D$48)/($A49-D$48)/(1+$A49)^$B$31-$B$35-$B$36)*1000000000/Inputs!$B$9</f>
        <v/>
      </c>
      <c r="E49" s="19">
        <f>(SUMPRODUCT($B$22:$F$22/(1+$A49)^$B$23:$F$23)+$F$22*(1+E$48)/($A49-E$48)/(1+$A49)^$B$31-$B$35-$B$36)*1000000000/Inputs!$B$9</f>
        <v/>
      </c>
      <c r="F49" s="19">
        <f>(SUMPRODUCT($B$22:$F$22/(1+$A49)^$B$23:$F$23)+$F$22*(1+F$48)/($A49-F$48)/(1+$A49)^$B$31-$B$35-$B$36)*1000000000/Inputs!$B$9</f>
        <v/>
      </c>
    </row>
    <row r="50">
      <c r="A50" s="23" t="n">
        <v>0.074</v>
      </c>
      <c r="B50" s="19">
        <f>(SUMPRODUCT($B$22:$F$22/(1+$A50)^$B$23:$F$23)+$F$22*(1+B$48)/($A50-B$48)/(1+$A50)^$B$31-$B$35-$B$36)*1000000000/Inputs!$B$9</f>
        <v/>
      </c>
      <c r="C50" s="19">
        <f>(SUMPRODUCT($B$22:$F$22/(1+$A50)^$B$23:$F$23)+$F$22*(1+C$48)/($A50-C$48)/(1+$A50)^$B$31-$B$35-$B$36)*1000000000/Inputs!$B$9</f>
        <v/>
      </c>
      <c r="D50" s="19">
        <f>(SUMPRODUCT($B$22:$F$22/(1+$A50)^$B$23:$F$23)+$F$22*(1+D$48)/($A50-D$48)/(1+$A50)^$B$31-$B$35-$B$36)*1000000000/Inputs!$B$9</f>
        <v/>
      </c>
      <c r="E50" s="19">
        <f>(SUMPRODUCT($B$22:$F$22/(1+$A50)^$B$23:$F$23)+$F$22*(1+E$48)/($A50-E$48)/(1+$A50)^$B$31-$B$35-$B$36)*1000000000/Inputs!$B$9</f>
        <v/>
      </c>
      <c r="F50" s="19">
        <f>(SUMPRODUCT($B$22:$F$22/(1+$A50)^$B$23:$F$23)+$F$22*(1+F$48)/($A50-F$48)/(1+$A50)^$B$31-$B$35-$B$36)*1000000000/Inputs!$B$9</f>
        <v/>
      </c>
    </row>
    <row r="51">
      <c r="A51" s="23" t="n">
        <v>0.079</v>
      </c>
      <c r="B51" s="19">
        <f>(SUMPRODUCT($B$22:$F$22/(1+$A51)^$B$23:$F$23)+$F$22*(1+B$48)/($A51-B$48)/(1+$A51)^$B$31-$B$35-$B$36)*1000000000/Inputs!$B$9</f>
        <v/>
      </c>
      <c r="C51" s="19">
        <f>(SUMPRODUCT($B$22:$F$22/(1+$A51)^$B$23:$F$23)+$F$22*(1+C$48)/($A51-C$48)/(1+$A51)^$B$31-$B$35-$B$36)*1000000000/Inputs!$B$9</f>
        <v/>
      </c>
      <c r="D51" s="19">
        <f>(SUMPRODUCT($B$22:$F$22/(1+$A51)^$B$23:$F$23)+$F$22*(1+D$48)/($A51-D$48)/(1+$A51)^$B$31-$B$35-$B$36)*1000000000/Inputs!$B$9</f>
        <v/>
      </c>
      <c r="E51" s="19">
        <f>(SUMPRODUCT($B$22:$F$22/(1+$A51)^$B$23:$F$23)+$F$22*(1+E$48)/($A51-E$48)/(1+$A51)^$B$31-$B$35-$B$36)*1000000000/Inputs!$B$9</f>
        <v/>
      </c>
      <c r="F51" s="19">
        <f>(SUMPRODUCT($B$22:$F$22/(1+$A51)^$B$23:$F$23)+$F$22*(1+F$48)/($A51-F$48)/(1+$A51)^$B$31-$B$35-$B$36)*1000000000/Inputs!$B$9</f>
        <v/>
      </c>
    </row>
    <row r="52">
      <c r="A52" s="23" t="n">
        <v>0.08400000000000001</v>
      </c>
      <c r="B52" s="19">
        <f>(SUMPRODUCT($B$22:$F$22/(1+$A52)^$B$23:$F$23)+$F$22*(1+B$48)/($A52-B$48)/(1+$A52)^$B$31-$B$35-$B$36)*1000000000/Inputs!$B$9</f>
        <v/>
      </c>
      <c r="C52" s="19">
        <f>(SUMPRODUCT($B$22:$F$22/(1+$A52)^$B$23:$F$23)+$F$22*(1+C$48)/($A52-C$48)/(1+$A52)^$B$31-$B$35-$B$36)*1000000000/Inputs!$B$9</f>
        <v/>
      </c>
      <c r="D52" s="19">
        <f>(SUMPRODUCT($B$22:$F$22/(1+$A52)^$B$23:$F$23)+$F$22*(1+D$48)/($A52-D$48)/(1+$A52)^$B$31-$B$35-$B$36)*1000000000/Inputs!$B$9</f>
        <v/>
      </c>
      <c r="E52" s="19">
        <f>(SUMPRODUCT($B$22:$F$22/(1+$A52)^$B$23:$F$23)+$F$22*(1+E$48)/($A52-E$48)/(1+$A52)^$B$31-$B$35-$B$36)*1000000000/Inputs!$B$9</f>
        <v/>
      </c>
      <c r="F52" s="19">
        <f>(SUMPRODUCT($B$22:$F$22/(1+$A52)^$B$23:$F$23)+$F$22*(1+F$48)/($A52-F$48)/(1+$A52)^$B$31-$B$35-$B$36)*1000000000/Inputs!$B$9</f>
        <v/>
      </c>
    </row>
    <row r="53">
      <c r="A53" s="23" t="n">
        <v>0.089</v>
      </c>
      <c r="B53" s="19">
        <f>(SUMPRODUCT($B$22:$F$22/(1+$A53)^$B$23:$F$23)+$F$22*(1+B$48)/($A53-B$48)/(1+$A53)^$B$31-$B$35-$B$36)*1000000000/Inputs!$B$9</f>
        <v/>
      </c>
      <c r="C53" s="19">
        <f>(SUMPRODUCT($B$22:$F$22/(1+$A53)^$B$23:$F$23)+$F$22*(1+C$48)/($A53-C$48)/(1+$A53)^$B$31-$B$35-$B$36)*1000000000/Inputs!$B$9</f>
        <v/>
      </c>
      <c r="D53" s="19">
        <f>(SUMPRODUCT($B$22:$F$22/(1+$A53)^$B$23:$F$23)+$F$22*(1+D$48)/($A53-D$48)/(1+$A53)^$B$31-$B$35-$B$36)*1000000000/Inputs!$B$9</f>
        <v/>
      </c>
      <c r="E53" s="19">
        <f>(SUMPRODUCT($B$22:$F$22/(1+$A53)^$B$23:$F$23)+$F$22*(1+E$48)/($A53-E$48)/(1+$A53)^$B$31-$B$35-$B$36)*1000000000/Inputs!$B$9</f>
        <v/>
      </c>
      <c r="F53" s="19">
        <f>(SUMPRODUCT($B$22:$F$22/(1+$A53)^$B$23:$F$23)+$F$22*(1+F$48)/($A53-F$48)/(1+$A53)^$B$31-$B$35-$B$36)*1000000000/Inputs!$B$9</f>
        <v/>
      </c>
    </row>
    <row r="55">
      <c r="A55" s="28" t="inlineStr">
        <is>
          <t>Sensitivity: value per share (KRW), long-term operating margin (rows) x WACC (columns)</t>
        </is>
      </c>
    </row>
    <row r="56">
      <c r="B56" s="23" t="n">
        <v>0.06900000000000001</v>
      </c>
      <c r="C56" s="23" t="n">
        <v>0.074</v>
      </c>
      <c r="D56" s="23" t="n">
        <v>0.079</v>
      </c>
      <c r="E56" s="23" t="n">
        <v>0.08400000000000001</v>
      </c>
      <c r="F56" s="23" t="n">
        <v>0.089</v>
      </c>
      <c r="G56" s="18" t="inlineStr">
        <is>
          <t>Margin applies from FY2027E. 2H2026E is fixed. FY23 to FY25 margins: 8.8% to 9.8%</t>
        </is>
      </c>
    </row>
    <row r="57">
      <c r="A57" s="22" t="n">
        <v>0.08500000000000001</v>
      </c>
      <c r="B57" s="19">
        <f>(SUMPRODUCT(($B$22:$F$22+$B$26:$F$26*($A57-Inputs!$B$21)*(1-Inputs!$B$19))/(1+B$56)^$B$23:$F$23)+($F$22+$F$26*($A57-Inputs!$B$21)*(1-Inputs!$B$19))*(1+Inputs!$B$17)/(B$56-Inputs!$B$17)/(1+B$56)^$B$31-$B$35-$B$36)*1000000000/Inputs!$B$9</f>
        <v/>
      </c>
      <c r="C57" s="19">
        <f>(SUMPRODUCT(($B$22:$F$22+$B$26:$F$26*($A57-Inputs!$B$21)*(1-Inputs!$B$19))/(1+C$56)^$B$23:$F$23)+($F$22+$F$26*($A57-Inputs!$B$21)*(1-Inputs!$B$19))*(1+Inputs!$B$17)/(C$56-Inputs!$B$17)/(1+C$56)^$B$31-$B$35-$B$36)*1000000000/Inputs!$B$9</f>
        <v/>
      </c>
      <c r="D57" s="19">
        <f>(SUMPRODUCT(($B$22:$F$22+$B$26:$F$26*($A57-Inputs!$B$21)*(1-Inputs!$B$19))/(1+D$56)^$B$23:$F$23)+($F$22+$F$26*($A57-Inputs!$B$21)*(1-Inputs!$B$19))*(1+Inputs!$B$17)/(D$56-Inputs!$B$17)/(1+D$56)^$B$31-$B$35-$B$36)*1000000000/Inputs!$B$9</f>
        <v/>
      </c>
      <c r="E57" s="19">
        <f>(SUMPRODUCT(($B$22:$F$22+$B$26:$F$26*($A57-Inputs!$B$21)*(1-Inputs!$B$19))/(1+E$56)^$B$23:$F$23)+($F$22+$F$26*($A57-Inputs!$B$21)*(1-Inputs!$B$19))*(1+Inputs!$B$17)/(E$56-Inputs!$B$17)/(1+E$56)^$B$31-$B$35-$B$36)*1000000000/Inputs!$B$9</f>
        <v/>
      </c>
      <c r="F57" s="19">
        <f>(SUMPRODUCT(($B$22:$F$22+$B$26:$F$26*($A57-Inputs!$B$21)*(1-Inputs!$B$19))/(1+F$56)^$B$23:$F$23)+($F$22+$F$26*($A57-Inputs!$B$21)*(1-Inputs!$B$19))*(1+Inputs!$B$17)/(F$56-Inputs!$B$17)/(1+F$56)^$B$31-$B$35-$B$36)*1000000000/Inputs!$B$9</f>
        <v/>
      </c>
    </row>
    <row r="58">
      <c r="A58" s="22" t="n">
        <v>0.095</v>
      </c>
      <c r="B58" s="19">
        <f>(SUMPRODUCT(($B$22:$F$22+$B$26:$F$26*($A58-Inputs!$B$21)*(1-Inputs!$B$19))/(1+B$56)^$B$23:$F$23)+($F$22+$F$26*($A58-Inputs!$B$21)*(1-Inputs!$B$19))*(1+Inputs!$B$17)/(B$56-Inputs!$B$17)/(1+B$56)^$B$31-$B$35-$B$36)*1000000000/Inputs!$B$9</f>
        <v/>
      </c>
      <c r="C58" s="19">
        <f>(SUMPRODUCT(($B$22:$F$22+$B$26:$F$26*($A58-Inputs!$B$21)*(1-Inputs!$B$19))/(1+C$56)^$B$23:$F$23)+($F$22+$F$26*($A58-Inputs!$B$21)*(1-Inputs!$B$19))*(1+Inputs!$B$17)/(C$56-Inputs!$B$17)/(1+C$56)^$B$31-$B$35-$B$36)*1000000000/Inputs!$B$9</f>
        <v/>
      </c>
      <c r="D58" s="19">
        <f>(SUMPRODUCT(($B$22:$F$22+$B$26:$F$26*($A58-Inputs!$B$21)*(1-Inputs!$B$19))/(1+D$56)^$B$23:$F$23)+($F$22+$F$26*($A58-Inputs!$B$21)*(1-Inputs!$B$19))*(1+Inputs!$B$17)/(D$56-Inputs!$B$17)/(1+D$56)^$B$31-$B$35-$B$36)*1000000000/Inputs!$B$9</f>
        <v/>
      </c>
      <c r="E58" s="19">
        <f>(SUMPRODUCT(($B$22:$F$22+$B$26:$F$26*($A58-Inputs!$B$21)*(1-Inputs!$B$19))/(1+E$56)^$B$23:$F$23)+($F$22+$F$26*($A58-Inputs!$B$21)*(1-Inputs!$B$19))*(1+Inputs!$B$17)/(E$56-Inputs!$B$17)/(1+E$56)^$B$31-$B$35-$B$36)*1000000000/Inputs!$B$9</f>
        <v/>
      </c>
      <c r="F58" s="19">
        <f>(SUMPRODUCT(($B$22:$F$22+$B$26:$F$26*($A58-Inputs!$B$21)*(1-Inputs!$B$19))/(1+F$56)^$B$23:$F$23)+($F$22+$F$26*($A58-Inputs!$B$21)*(1-Inputs!$B$19))*(1+Inputs!$B$17)/(F$56-Inputs!$B$17)/(1+F$56)^$B$31-$B$35-$B$36)*1000000000/Inputs!$B$9</f>
        <v/>
      </c>
    </row>
    <row r="59">
      <c r="A59" s="22" t="n">
        <v>0.105</v>
      </c>
      <c r="B59" s="19">
        <f>(SUMPRODUCT(($B$22:$F$22+$B$26:$F$26*($A59-Inputs!$B$21)*(1-Inputs!$B$19))/(1+B$56)^$B$23:$F$23)+($F$22+$F$26*($A59-Inputs!$B$21)*(1-Inputs!$B$19))*(1+Inputs!$B$17)/(B$56-Inputs!$B$17)/(1+B$56)^$B$31-$B$35-$B$36)*1000000000/Inputs!$B$9</f>
        <v/>
      </c>
      <c r="C59" s="19">
        <f>(SUMPRODUCT(($B$22:$F$22+$B$26:$F$26*($A59-Inputs!$B$21)*(1-Inputs!$B$19))/(1+C$56)^$B$23:$F$23)+($F$22+$F$26*($A59-Inputs!$B$21)*(1-Inputs!$B$19))*(1+Inputs!$B$17)/(C$56-Inputs!$B$17)/(1+C$56)^$B$31-$B$35-$B$36)*1000000000/Inputs!$B$9</f>
        <v/>
      </c>
      <c r="D59" s="19">
        <f>(SUMPRODUCT(($B$22:$F$22+$B$26:$F$26*($A59-Inputs!$B$21)*(1-Inputs!$B$19))/(1+D$56)^$B$23:$F$23)+($F$22+$F$26*($A59-Inputs!$B$21)*(1-Inputs!$B$19))*(1+Inputs!$B$17)/(D$56-Inputs!$B$17)/(1+D$56)^$B$31-$B$35-$B$36)*1000000000/Inputs!$B$9</f>
        <v/>
      </c>
      <c r="E59" s="19">
        <f>(SUMPRODUCT(($B$22:$F$22+$B$26:$F$26*($A59-Inputs!$B$21)*(1-Inputs!$B$19))/(1+E$56)^$B$23:$F$23)+($F$22+$F$26*($A59-Inputs!$B$21)*(1-Inputs!$B$19))*(1+Inputs!$B$17)/(E$56-Inputs!$B$17)/(1+E$56)^$B$31-$B$35-$B$36)*1000000000/Inputs!$B$9</f>
        <v/>
      </c>
      <c r="F59" s="19">
        <f>(SUMPRODUCT(($B$22:$F$22+$B$26:$F$26*($A59-Inputs!$B$21)*(1-Inputs!$B$19))/(1+F$56)^$B$23:$F$23)+($F$22+$F$26*($A59-Inputs!$B$21)*(1-Inputs!$B$19))*(1+Inputs!$B$17)/(F$56-Inputs!$B$17)/(1+F$56)^$B$31-$B$35-$B$36)*1000000000/Inputs!$B$9</f>
        <v/>
      </c>
    </row>
    <row r="60">
      <c r="A60" s="22" t="n">
        <v>0.115</v>
      </c>
      <c r="B60" s="19">
        <f>(SUMPRODUCT(($B$22:$F$22+$B$26:$F$26*($A60-Inputs!$B$21)*(1-Inputs!$B$19))/(1+B$56)^$B$23:$F$23)+($F$22+$F$26*($A60-Inputs!$B$21)*(1-Inputs!$B$19))*(1+Inputs!$B$17)/(B$56-Inputs!$B$17)/(1+B$56)^$B$31-$B$35-$B$36)*1000000000/Inputs!$B$9</f>
        <v/>
      </c>
      <c r="C60" s="19">
        <f>(SUMPRODUCT(($B$22:$F$22+$B$26:$F$26*($A60-Inputs!$B$21)*(1-Inputs!$B$19))/(1+C$56)^$B$23:$F$23)+($F$22+$F$26*($A60-Inputs!$B$21)*(1-Inputs!$B$19))*(1+Inputs!$B$17)/(C$56-Inputs!$B$17)/(1+C$56)^$B$31-$B$35-$B$36)*1000000000/Inputs!$B$9</f>
        <v/>
      </c>
      <c r="D60" s="19">
        <f>(SUMPRODUCT(($B$22:$F$22+$B$26:$F$26*($A60-Inputs!$B$21)*(1-Inputs!$B$19))/(1+D$56)^$B$23:$F$23)+($F$22+$F$26*($A60-Inputs!$B$21)*(1-Inputs!$B$19))*(1+Inputs!$B$17)/(D$56-Inputs!$B$17)/(1+D$56)^$B$31-$B$35-$B$36)*1000000000/Inputs!$B$9</f>
        <v/>
      </c>
      <c r="E60" s="19">
        <f>(SUMPRODUCT(($B$22:$F$22+$B$26:$F$26*($A60-Inputs!$B$21)*(1-Inputs!$B$19))/(1+E$56)^$B$23:$F$23)+($F$22+$F$26*($A60-Inputs!$B$21)*(1-Inputs!$B$19))*(1+Inputs!$B$17)/(E$56-Inputs!$B$17)/(1+E$56)^$B$31-$B$35-$B$36)*1000000000/Inputs!$B$9</f>
        <v/>
      </c>
      <c r="F60" s="19">
        <f>(SUMPRODUCT(($B$22:$F$22+$B$26:$F$26*($A60-Inputs!$B$21)*(1-Inputs!$B$19))/(1+F$56)^$B$23:$F$23)+($F$22+$F$26*($A60-Inputs!$B$21)*(1-Inputs!$B$19))*(1+Inputs!$B$17)/(F$56-Inputs!$B$17)/(1+F$56)^$B$31-$B$35-$B$36)*1000000000/Inputs!$B$9</f>
        <v/>
      </c>
    </row>
    <row r="61">
      <c r="A61" s="22" t="n">
        <v>0.125</v>
      </c>
      <c r="B61" s="19">
        <f>(SUMPRODUCT(($B$22:$F$22+$B$26:$F$26*($A61-Inputs!$B$21)*(1-Inputs!$B$19))/(1+B$56)^$B$23:$F$23)+($F$22+$F$26*($A61-Inputs!$B$21)*(1-Inputs!$B$19))*(1+Inputs!$B$17)/(B$56-Inputs!$B$17)/(1+B$56)^$B$31-$B$35-$B$36)*1000000000/Inputs!$B$9</f>
        <v/>
      </c>
      <c r="C61" s="19">
        <f>(SUMPRODUCT(($B$22:$F$22+$B$26:$F$26*($A61-Inputs!$B$21)*(1-Inputs!$B$19))/(1+C$56)^$B$23:$F$23)+($F$22+$F$26*($A61-Inputs!$B$21)*(1-Inputs!$B$19))*(1+Inputs!$B$17)/(C$56-Inputs!$B$17)/(1+C$56)^$B$31-$B$35-$B$36)*1000000000/Inputs!$B$9</f>
        <v/>
      </c>
      <c r="D61" s="19">
        <f>(SUMPRODUCT(($B$22:$F$22+$B$26:$F$26*($A61-Inputs!$B$21)*(1-Inputs!$B$19))/(1+D$56)^$B$23:$F$23)+($F$22+$F$26*($A61-Inputs!$B$21)*(1-Inputs!$B$19))*(1+Inputs!$B$17)/(D$56-Inputs!$B$17)/(1+D$56)^$B$31-$B$35-$B$36)*1000000000/Inputs!$B$9</f>
        <v/>
      </c>
      <c r="E61" s="19">
        <f>(SUMPRODUCT(($B$22:$F$22+$B$26:$F$26*($A61-Inputs!$B$21)*(1-Inputs!$B$19))/(1+E$56)^$B$23:$F$23)+($F$22+$F$26*($A61-Inputs!$B$21)*(1-Inputs!$B$19))*(1+Inputs!$B$17)/(E$56-Inputs!$B$17)/(1+E$56)^$B$31-$B$35-$B$36)*1000000000/Inputs!$B$9</f>
        <v/>
      </c>
      <c r="F61" s="19">
        <f>(SUMPRODUCT(($B$22:$F$22+$B$26:$F$26*($A61-Inputs!$B$21)*(1-Inputs!$B$19))/(1+F$56)^$B$23:$F$23)+($F$22+$F$26*($A61-Inputs!$B$21)*(1-Inputs!$B$19))*(1+Inputs!$B$17)/(F$56-Inputs!$B$17)/(1+F$56)^$B$31-$B$35-$B$36)*1000000000/Inputs!$B$9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Trading comparables</t>
        </is>
      </c>
    </row>
    <row r="2">
      <c r="A2" s="2" t="inlineStr">
        <is>
          <t>Peer data: Yahoo Finance via yfinance, fetched 2026-09-25. Local currency, millions. Multiples are computed here from raw values.</t>
        </is>
      </c>
    </row>
    <row r="4">
      <c r="A4" s="3" t="inlineStr">
        <is>
          <t>Company</t>
        </is>
      </c>
      <c r="B4" s="4" t="inlineStr">
        <is>
          <t>Ticker</t>
        </is>
      </c>
      <c r="C4" s="4" t="inlineStr">
        <is>
          <t>Currency</t>
        </is>
      </c>
      <c r="D4" s="4" t="inlineStr">
        <is>
          <t>Market cap (m)</t>
        </is>
      </c>
      <c r="E4" s="4" t="inlineStr">
        <is>
          <t>EV (m)</t>
        </is>
      </c>
      <c r="F4" s="4" t="inlineStr">
        <is>
          <t>EBITDA TTM (m)</t>
        </is>
      </c>
      <c r="G4" s="4" t="inlineStr">
        <is>
          <t>Net income TTM (m)</t>
        </is>
      </c>
      <c r="H4" s="4" t="inlineStr">
        <is>
          <t>EV/EBITDA</t>
        </is>
      </c>
      <c r="I4" s="4" t="inlineStr">
        <is>
          <t>P/E TTM</t>
        </is>
      </c>
      <c r="J4" s="4" t="inlineStr">
        <is>
          <t>P/E fwd</t>
        </is>
      </c>
      <c r="K4" s="4" t="inlineStr">
        <is>
          <t>P/B</t>
        </is>
      </c>
      <c r="L4" s="4" t="inlineStr">
        <is>
          <t>ROE</t>
        </is>
      </c>
      <c r="M4" s="4" t="inlineStr">
        <is>
          <t>Op. margin</t>
        </is>
      </c>
    </row>
    <row r="5">
      <c r="A5" s="36" t="inlineStr">
        <is>
          <t>A. O. Smith</t>
        </is>
      </c>
      <c r="B5" s="36" t="inlineStr">
        <is>
          <t>AOS</t>
        </is>
      </c>
      <c r="C5" s="36" t="inlineStr">
        <is>
          <t>USD</t>
        </is>
      </c>
      <c r="D5" s="17" t="n">
        <v>7971</v>
      </c>
      <c r="E5" s="17" t="n">
        <v>8337.799999999999</v>
      </c>
      <c r="F5" s="17" t="n">
        <v>783.7</v>
      </c>
      <c r="G5" s="17" t="n">
        <v>500.3</v>
      </c>
      <c r="H5" s="35">
        <f>E5/F5</f>
        <v/>
      </c>
      <c r="I5" s="35">
        <f>D5/G5</f>
        <v/>
      </c>
      <c r="J5" s="37" t="n">
        <v>14.3528</v>
      </c>
      <c r="K5" s="37" t="n">
        <v>4.3278</v>
      </c>
      <c r="L5" s="22" t="n">
        <v>0.2713</v>
      </c>
      <c r="M5" s="22" t="n">
        <v>0.1893</v>
      </c>
    </row>
    <row r="6">
      <c r="A6" s="36" t="inlineStr">
        <is>
          <t>Rinnai</t>
        </is>
      </c>
      <c r="B6" s="36" t="inlineStr">
        <is>
          <t>5947.T</t>
        </is>
      </c>
      <c r="C6" s="36" t="inlineStr">
        <is>
          <t>JPY</t>
        </is>
      </c>
      <c r="D6" s="17" t="n">
        <v>476340.2</v>
      </c>
      <c r="E6" s="17" t="n">
        <v>359255.1</v>
      </c>
      <c r="F6" s="17" t="n">
        <v>64900.8</v>
      </c>
      <c r="G6" s="17" t="n">
        <v>36282</v>
      </c>
      <c r="H6" s="35">
        <f>E6/F6</f>
        <v/>
      </c>
      <c r="I6" s="35">
        <f>D6/G6</f>
        <v/>
      </c>
      <c r="J6" s="37" t="n">
        <v>15.1163</v>
      </c>
      <c r="K6" s="37" t="n">
        <v>1.0878</v>
      </c>
      <c r="L6" s="22" t="n">
        <v>0.09180000000000001</v>
      </c>
      <c r="M6" s="22" t="n">
        <v>0.08069999999999999</v>
      </c>
    </row>
    <row r="7">
      <c r="A7" s="36" t="inlineStr">
        <is>
          <t>Noritz</t>
        </is>
      </c>
      <c r="B7" s="36" t="inlineStr">
        <is>
          <t>5943.T</t>
        </is>
      </c>
      <c r="C7" s="36" t="inlineStr">
        <is>
          <t>JPY</t>
        </is>
      </c>
      <c r="D7" s="17" t="n">
        <v>101138.9</v>
      </c>
      <c r="E7" s="17" t="n">
        <v>84300.60000000001</v>
      </c>
      <c r="F7" s="17" t="n">
        <v>13466</v>
      </c>
      <c r="G7" s="17" t="n">
        <v>7150</v>
      </c>
      <c r="H7" s="35">
        <f>E7/F7</f>
        <v/>
      </c>
      <c r="I7" s="35">
        <f>D7/G7</f>
        <v/>
      </c>
      <c r="J7" s="37" t="n">
        <v>31.9735</v>
      </c>
      <c r="K7" s="37" t="n">
        <v>0.71</v>
      </c>
      <c r="L7" s="22" t="n">
        <v>0.0512</v>
      </c>
      <c r="M7" s="22" t="n">
        <v>0.0032</v>
      </c>
    </row>
    <row r="8">
      <c r="A8" s="36" t="inlineStr">
        <is>
          <t>Ariston Holding</t>
        </is>
      </c>
      <c r="B8" s="36" t="inlineStr">
        <is>
          <t>ARIS.MI</t>
        </is>
      </c>
      <c r="C8" s="36" t="inlineStr">
        <is>
          <t>EUR</t>
        </is>
      </c>
      <c r="D8" s="17" t="n">
        <v>1470</v>
      </c>
      <c r="E8" s="17" t="n">
        <v>2094.7</v>
      </c>
      <c r="F8" s="17" t="n">
        <v>249.7</v>
      </c>
      <c r="G8" s="17" t="n">
        <v>109.2</v>
      </c>
      <c r="H8" s="35">
        <f>E8/F8</f>
        <v/>
      </c>
      <c r="I8" s="35">
        <f>D8/G8</f>
        <v/>
      </c>
      <c r="J8" s="37" t="n">
        <v>9.853400000000001</v>
      </c>
      <c r="K8" s="37" t="n">
        <v>0.8959</v>
      </c>
      <c r="L8" s="22" t="n">
        <v>0.0735</v>
      </c>
      <c r="M8" s="22" t="n">
        <v>0.0461</v>
      </c>
    </row>
    <row r="9">
      <c r="A9" s="36" t="inlineStr">
        <is>
          <t>Lennox International</t>
        </is>
      </c>
      <c r="B9" s="36" t="inlineStr">
        <is>
          <t>LII</t>
        </is>
      </c>
      <c r="C9" s="36" t="inlineStr">
        <is>
          <t>USD</t>
        </is>
      </c>
      <c r="D9" s="17" t="n">
        <v>12917.7</v>
      </c>
      <c r="E9" s="17" t="n">
        <v>14683.3</v>
      </c>
      <c r="F9" s="17" t="n">
        <v>1170.8</v>
      </c>
      <c r="G9" s="17" t="n">
        <v>788.5</v>
      </c>
      <c r="H9" s="35">
        <f>E9/F9</f>
        <v/>
      </c>
      <c r="I9" s="35">
        <f>D9/G9</f>
        <v/>
      </c>
      <c r="J9" s="37" t="n">
        <v>14.3</v>
      </c>
      <c r="K9" s="37" t="n">
        <v>9.957599999999999</v>
      </c>
      <c r="L9" s="22" t="n">
        <v>0.7176</v>
      </c>
      <c r="M9" s="22" t="n">
        <v>0.2286</v>
      </c>
    </row>
    <row r="10">
      <c r="A10" s="36" t="inlineStr">
        <is>
          <t>Coway</t>
        </is>
      </c>
      <c r="B10" s="36" t="inlineStr">
        <is>
          <t>021240.KS</t>
        </is>
      </c>
      <c r="C10" s="36" t="inlineStr">
        <is>
          <t>KRW</t>
        </is>
      </c>
      <c r="D10" s="17" t="n">
        <v>6998865.2</v>
      </c>
      <c r="E10" s="17" t="n">
        <v>9524181.199999999</v>
      </c>
      <c r="F10" s="17" t="n">
        <v>1330515.5</v>
      </c>
      <c r="G10" s="17" t="n">
        <v>683539.9</v>
      </c>
      <c r="H10" s="35">
        <f>E10/F10</f>
        <v/>
      </c>
      <c r="I10" s="35">
        <f>D10/G10</f>
        <v/>
      </c>
      <c r="J10" s="37" t="n">
        <v>8.932399999999999</v>
      </c>
      <c r="K10" t="inlineStr">
        <is>
          <t>n/a</t>
        </is>
      </c>
      <c r="L10" s="22" t="n">
        <v>0.1931</v>
      </c>
      <c r="M10" s="22" t="n">
        <v>0.1756</v>
      </c>
    </row>
    <row r="11">
      <c r="A11" s="28" t="inlineStr">
        <is>
          <t>Peer median</t>
        </is>
      </c>
      <c r="H11" s="35">
        <f>MEDIAN(H5:H10)</f>
        <v/>
      </c>
      <c r="I11" s="35">
        <f>MEDIAN(I5:I10)</f>
        <v/>
      </c>
      <c r="J11" s="35">
        <f>MEDIAN(J5:J10)</f>
        <v/>
      </c>
      <c r="K11" s="35">
        <f>MEDIAN(K5:K10)</f>
        <v/>
      </c>
      <c r="L11" s="26">
        <f>MEDIAN(L5:L10)</f>
        <v/>
      </c>
      <c r="M11" s="26">
        <f>MEDIAN(M5:M10)</f>
        <v/>
      </c>
    </row>
    <row r="13">
      <c r="A13" s="28" t="inlineStr">
        <is>
          <t>Kyung Dong Navien (KRW bn)</t>
        </is>
      </c>
    </row>
    <row r="14">
      <c r="A14" s="5" t="inlineStr">
        <is>
          <t>Market cap</t>
        </is>
      </c>
      <c r="B14" s="29">
        <f>DCF!B5</f>
        <v/>
      </c>
    </row>
    <row r="15">
      <c r="A15" s="5" t="inlineStr">
        <is>
          <t>Enterprise value</t>
        </is>
      </c>
      <c r="B15" s="10">
        <f>B14+Historical!F56+Historical!F49</f>
        <v/>
      </c>
      <c r="C15" s="18" t="inlineStr">
        <is>
          <t>Market cap + net debt + NCI, 30 Jun 2026</t>
        </is>
      </c>
    </row>
    <row r="16">
      <c r="A16" s="5" t="inlineStr">
        <is>
          <t>EBITDA, LTM to 1H2026</t>
        </is>
      </c>
      <c r="B16" s="10">
        <f>Historical!D17+Historical!D18-(Historical!E17+Historical!E18)+Historical!F17+Historical!F18</f>
        <v/>
      </c>
      <c r="C16" s="18" t="inlineStr">
        <is>
          <t>FY2025 - 1H2025 + 1H2026. Includes undisclosed US tariff refunds in 1H2026</t>
        </is>
      </c>
    </row>
    <row r="17">
      <c r="A17" s="5" t="inlineStr">
        <is>
          <t>Net income to parent, LTM</t>
        </is>
      </c>
      <c r="B17" s="10">
        <f>Historical!D23-Historical!E23+Historical!F23</f>
        <v/>
      </c>
    </row>
    <row r="18">
      <c r="A18" s="5" t="inlineStr">
        <is>
          <t>EV / EBITDA, LTM</t>
        </is>
      </c>
      <c r="B18" s="35">
        <f>B15/B16</f>
        <v/>
      </c>
    </row>
    <row r="19">
      <c r="A19" s="5" t="inlineStr">
        <is>
          <t>P/E, LTM</t>
        </is>
      </c>
      <c r="B19" s="35">
        <f>B14/B17</f>
        <v/>
      </c>
    </row>
    <row r="20">
      <c r="A20" s="5" t="inlineStr">
        <is>
          <t>P/E, FY2027E (model)</t>
        </is>
      </c>
      <c r="B20" s="35">
        <f>B14/Model!D20</f>
        <v/>
      </c>
      <c r="C20" s="18" t="inlineStr">
        <is>
          <t>FY2027E is the first year with no tariff refund assumed</t>
        </is>
      </c>
    </row>
    <row r="21">
      <c r="A21" s="5" t="inlineStr">
        <is>
          <t>P/B, 30 Jun 2026</t>
        </is>
      </c>
      <c r="B21" s="35">
        <f>B14/Historical!F48</f>
        <v/>
      </c>
    </row>
    <row r="23">
      <c r="A23" s="28" t="inlineStr">
        <is>
          <t>Implied value per share at peer median (KRW)</t>
        </is>
      </c>
    </row>
    <row r="24">
      <c r="A24" s="5" t="inlineStr">
        <is>
          <t>At median EV / EBITDA (LTM)</t>
        </is>
      </c>
      <c r="B24" s="19">
        <f>(H11*B16-Historical!F56-Historical!F49)*1000000000/Inputs!$B$9</f>
        <v/>
      </c>
      <c r="C24" s="18" t="inlineStr">
        <is>
          <t>Cross-check only, not blended into the target</t>
        </is>
      </c>
    </row>
    <row r="25">
      <c r="A25" s="5" t="inlineStr">
        <is>
          <t>At median P/E (LTM)</t>
        </is>
      </c>
      <c r="B25" s="19">
        <f>I11*B17*1000000000/Inputs!$B$9</f>
        <v/>
      </c>
    </row>
    <row r="26">
      <c r="A26" s="5" t="inlineStr">
        <is>
          <t>At median forward P/E on FY2027E net income</t>
        </is>
      </c>
      <c r="B26" s="19">
        <f>J11*Model!D20*1000000000/Inputs!$B$9</f>
        <v/>
      </c>
    </row>
    <row r="27">
      <c r="A27" s="5" t="inlineStr">
        <is>
          <t>DCF value per share</t>
        </is>
      </c>
      <c r="B27" s="6">
        <f>DCF!B38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2026-09-25T21:13:49Z</dcterms:created>
  <dcterms:modified xmlns:dcterms="http://purl.org/dc/terms/" xmlns:xsi="http://www.w3.org/2001/XMLSchema-instance" xsi:type="dcterms:W3CDTF">2026-09-25T21:13:49Z</dcterms:modified>
</cp:coreProperties>
</file>